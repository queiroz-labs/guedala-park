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83429664e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ao" sheetId="1" r:id="R323d2e0c79274020"/>
    <x:sheet xmlns:r="http://schemas.openxmlformats.org/officeDocument/2006/relationships" name="Quantidades" sheetId="2" r:id="Rf50301104b3d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R$&quot; #,##0.00;(&quot;R$&quot; #,##0.00);&quot;–&quot;"/>
    <x:numFmt numFmtId="201" formatCode="0.00"/>
    <x:numFmt numFmtId="202" formatCode="0"/>
    <x:numFmt numFmtId="203" formatCode="0%"/>
    <x:numFmt numFmtId="204" formatCode="0.0000"/>
  </x:numFmts>
  <x:fonts count="8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1"/>
      <x:color rgb="FF137344"/>
      <x:name val="Arial"/>
    </x:font>
    <x:font>
      <x:sz val="11"/>
      <x:color rgb="FF165BC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DEAE7"/>
      </x:patternFill>
    </x:fill>
    <x:fill>
      <x:patternFill patternType="solid">
        <x:fgColor rgb="FFFFF2CD"/>
      </x:patternFill>
    </x:fill>
    <x:fill>
      <x:patternFill patternType="solid">
        <x:fgColor rgb="FF294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201" fontId="7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C5000"/>
      </x:font>
      <x:fill>
        <x:patternFill patternType="solid">
          <x:bgColor rgb="FFFFF2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fbbbf0c744812" /><Relationship Type="http://schemas.openxmlformats.org/officeDocument/2006/relationships/theme" Target="/xl/theme/theme1.xml" Id="R3a9059528e3747f3" /><Relationship Type="http://schemas.openxmlformats.org/officeDocument/2006/relationships/sharedStrings" Target="/xl/sharedStrings.xml" Id="R00b25a64bba14a7d" /><Relationship Type="http://schemas.openxmlformats.org/officeDocument/2006/relationships/worksheet" Target="/xl/worksheets/sheet1.xml" Id="R323d2e0c79274020" /><Relationship Type="http://schemas.openxmlformats.org/officeDocument/2006/relationships/worksheet" Target="/xl/worksheets/sheet2.xml" Id="Rf50301104b3d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9" hidden="0" customWidth="1"/>
    <x:col min="2" max="2" width="49" hidden="0" customWidth="1"/>
    <x:col min="3" max="3" width="13" hidden="0" customWidth="1"/>
    <x:col min="4" max="4" width="11" hidden="0" customWidth="1"/>
    <x:col min="5" max="5" width="17" hidden="0" customWidth="1"/>
    <x:col min="6" max="6" width="19" hidden="0" customWidth="1"/>
    <x:col min="7" max="7" width="19" hidden="0" customWidth="1"/>
    <x:col min="8" max="8" width="19" hidden="0" customWidth="1"/>
    <x:col min="9" max="9" width="84" hidden="0" customWidth="1"/>
    <x:col min="10" max="10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4" t="str">
        <x:v>Pisos e revestimentos — revisão de custo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 t="str">
        <x:v>22/10/2026. Mesmos acabamentos. Valores de compra e serviços ainda sujeitos a confirmação.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 t="str">
        <x:v>Estimativa anterior</x:v>
      </x:c>
      <x:c r="C5" s="2"/>
      <x:c r="D5" s="2"/>
      <x:c r="E5" s="2"/>
      <x:c r="F5" s="5" t="n">
        <x:f>SUM(G14:G26)</x:f>
        <x:v>20542.24</x:v>
      </x:c>
      <x:c r="G5" s="2"/>
      <x:c r="H5" s="2"/>
      <x:c r="I5" s="2"/>
      <x:c r="J5" s="2"/>
    </x:row>
    <x:row r="6">
      <x:c r="A6" s="2"/>
      <x:c r="B6" s="8" t="str">
        <x:v>Estimativa revisada</x:v>
      </x:c>
      <x:c r="C6" s="8"/>
      <x:c r="D6" s="8"/>
      <x:c r="E6" s="8"/>
      <x:c r="F6" s="9" t="n">
        <x:f>IF(COUNT(F14:F26)=13,SUM(F14:F26),"Pendente")</x:f>
        <x:v>16998.129999999997</x:v>
      </x:c>
      <x:c r="G6" s="8"/>
      <x:c r="H6" s="8"/>
      <x:c r="I6" s="2"/>
      <x:c r="J6" s="2"/>
    </x:row>
    <x:row r="7">
      <x:c r="A7" s="2"/>
      <x:c r="B7" s="2" t="str">
        <x:v>Redução indicativa</x:v>
      </x:c>
      <x:c r="C7" s="2"/>
      <x:c r="D7" s="2"/>
      <x:c r="E7" s="2"/>
      <x:c r="F7" s="5" t="n">
        <x:f>F5-F6</x:f>
        <x:v>3544.110000000004</x:v>
      </x:c>
      <x:c r="G7" s="2"/>
      <x:c r="H7" s="2"/>
      <x:c r="I7" s="2"/>
      <x:c r="J7" s="2"/>
    </x:row>
    <x:row r="8">
      <x:c r="A8" s="2"/>
      <x:c r="B8" s="2" t="str">
        <x:v>Meta da categoria</x:v>
      </x:c>
      <x:c r="C8" s="2"/>
      <x:c r="D8" s="2"/>
      <x:c r="E8" s="2"/>
      <x:c r="F8" s="5" t="n">
        <x:f>'Quantidades'!B35</x:f>
        <x:v>17000</x:v>
      </x:c>
      <x:c r="G8" s="2"/>
      <x:c r="H8" s="2"/>
      <x:c r="I8" s="2"/>
      <x:c r="J8" s="2"/>
    </x:row>
    <x:row r="9">
      <x:c r="A9" s="2"/>
      <x:c r="B9" s="2" t="str">
        <x:v>Falta reduzir para atingir a meta</x:v>
      </x:c>
      <x:c r="C9" s="2"/>
      <x:c r="D9" s="2"/>
      <x:c r="E9" s="2"/>
      <x:c r="F9" s="5" t="n">
        <x:f>MAX(0,F6-F8)</x:f>
        <x:v>0</x:v>
      </x:c>
      <x:c r="G9" s="2"/>
      <x:c r="H9" s="2"/>
      <x:c r="I9" s="2"/>
      <x:c r="J9" s="2"/>
    </x:row>
    <x:row r="10">
      <x:c r="A10" s="2"/>
      <x:c r="B10" s="2" t="str">
        <x:v>Folga estimada até a meta</x:v>
      </x:c>
      <x:c r="C10" s="2"/>
      <x:c r="D10" s="2"/>
      <x:c r="E10" s="2"/>
      <x:c r="F10" s="10" t="n">
        <x:f>F8-F6</x:f>
        <x:v>1.8700000000026193</x:v>
      </x:c>
      <x:c r="G10" s="2"/>
      <x:c r="H10" s="2"/>
      <x:c r="I10" s="2"/>
      <x:c r="J10" s="2"/>
    </x:row>
    <x:row r="11">
      <x:c r="A11" s="2"/>
      <x:c r="B11" s="2" t="str">
        <x:v>Frete em G02 do orçamento geral. Não é proposta de fornecimento ou instalação.</x:v>
      </x:c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5" customHeight="1">
      <x:c r="A13" s="16" t="str">
        <x:v>ID</x:v>
      </x:c>
      <x:c r="B13" s="16" t="str">
        <x:v>Material / serviço</x:v>
      </x:c>
      <x:c r="C13" s="16" t="str">
        <x:v>Quantidade</x:v>
      </x:c>
      <x:c r="D13" s="16" t="str">
        <x:v>Unidade</x:v>
      </x:c>
      <x:c r="E13" s="16" t="str">
        <x:v>Preço unitário</x:v>
      </x:c>
      <x:c r="F13" s="16" t="str">
        <x:v>Revisado</x:v>
      </x:c>
      <x:c r="G13" s="16" t="str">
        <x:v>Anterior</x:v>
      </x:c>
      <x:c r="H13" s="16" t="str">
        <x:v>Redução</x:v>
      </x:c>
      <x:c r="I13" s="16" t="str">
        <x:v>Critério e pendências</x:v>
      </x:c>
      <x:c r="J13" s="16" t="str">
        <x:v>Fonte</x:v>
      </x:c>
    </x:row>
    <x:row r="14" ht="52" customHeight="1">
      <x:c r="A14" s="2" t="str">
        <x:v>R01</x:v>
      </x:c>
      <x:c r="B14" s="17" t="str">
        <x:v>Vinílico Tarkett Ambienta Design Olmo</x:v>
      </x:c>
      <x:c r="C14" s="18" t="n">
        <x:f>'Quantidades'!B10</x:f>
        <x:v>35.8</x:v>
      </x:c>
      <x:c r="D14" s="2" t="str">
        <x:v>m²</x:v>
      </x:c>
      <x:c r="E14" s="20" t="n">
        <x:f>'Quantidades'!B8</x:f>
        <x:v>166.7</x:v>
      </x:c>
      <x:c r="F14" s="5" t="n">
        <x:f>IF(COUNT(C14,E14)=2,ROUND(C14*E14,2),"Pendente")</x:f>
        <x:v>5967.86</x:v>
      </x:c>
      <x:c r="G14" s="5" t="n">
        <x:v>8699.02</x:v>
      </x:c>
      <x:c r="H14" s="5" t="n">
        <x:f>G14-F14</x:f>
        <x:v>2731.1600000000008</x:v>
      </x:c>
      <x:c r="I14" s="17" t="str">
        <x:v>10 caixas, 140 réguas. Plano nominal usa 136, incluindo passagens e sobreposição. Compra após conferir medidas, lote e ficha.</x:v>
      </x:c>
      <x:c r="J14" s="17" t="str">
        <x:v>https://www.ligpisos.com.br/piso-ambienta-tarkett-new-design-3mm-capa-05mm-olmo</x:v>
      </x:c>
    </x:row>
    <x:row r="15" ht="52" customHeight="1">
      <x:c r="A15" s="2" t="str">
        <x:v>R02</x:v>
      </x:c>
      <x:c r="B15" s="17" t="str">
        <x:v>Preparação e regularização</x:v>
      </x:c>
      <x:c r="C15" s="18" t="n">
        <x:f>'Quantidades'!B5</x:f>
        <x:v>34</x:v>
      </x:c>
      <x:c r="D15" s="2" t="str">
        <x:v>m²</x:v>
      </x:c>
      <x:c r="E15" s="20" t="n">
        <x:v>45</x:v>
      </x:c>
      <x:c r="F15" s="5" t="n">
        <x:f>IF(COUNT(C15,E15)=2,ROUND(C15*E15,2),"Pendente")</x:f>
        <x:v>1530</x:v>
      </x:c>
      <x:c r="G15" s="5" t="n">
        <x:v>1530</x:v>
      </x:c>
      <x:c r="H15" s="5" t="n">
        <x:f>G15-F15</x:f>
        <x:v>0</x:v>
      </x:c>
      <x:c r="I15" s="17" t="str">
        <x:v>34 m² mantidos até medição e avaliação do contrapiso. Estimativa anterior.</x:v>
      </x:c>
      <x:c r="J15" s="17" t="str">
        <x:v>Orçamento R43, R02</x:v>
      </x:c>
    </x:row>
    <x:row r="16" ht="52" customHeight="1">
      <x:c r="A16" s="2" t="str">
        <x:v>R03</x:v>
      </x:c>
      <x:c r="B16" s="17" t="str">
        <x:v>Cola e instalação do vinílico</x:v>
      </x:c>
      <x:c r="C16" s="18" t="n">
        <x:f>'Quantidades'!B5</x:f>
        <x:v>34</x:v>
      </x:c>
      <x:c r="D16" s="2" t="str">
        <x:v>m²</x:v>
      </x:c>
      <x:c r="E16" s="20" t="n">
        <x:v>45</x:v>
      </x:c>
      <x:c r="F16" s="5" t="n">
        <x:f>IF(COUNT(C16,E16)=2,ROUND(C16*E16,2),"Pendente")</x:f>
        <x:v>1530</x:v>
      </x:c>
      <x:c r="G16" s="5" t="n">
        <x:v>1530</x:v>
      </x:c>
      <x:c r="H16" s="5" t="n">
        <x:f>G16-F16</x:f>
        <x:v>0</x:v>
      </x:c>
      <x:c r="I16" s="17" t="str">
        <x:v>Manter sistema compatível e retirada do laminado prevista em obra. Sem desconto de mão de obra inventado.</x:v>
      </x:c>
      <x:c r="J16" s="17" t="str">
        <x:v>Orçamento R43, R03</x:v>
      </x:c>
    </x:row>
    <x:row r="17" ht="52" customHeight="1">
      <x:c r="A17" s="2" t="str">
        <x:v>R04</x:v>
      </x:c>
      <x:c r="B17" s="17" t="str">
        <x:v>Rodapés e transições</x:v>
      </x:c>
      <x:c r="C17" s="18" t="n">
        <x:v>35</x:v>
      </x:c>
      <x:c r="D17" s="2" t="str">
        <x:v>m</x:v>
      </x:c>
      <x:c r="E17" s="20" t="n">
        <x:v>45</x:v>
      </x:c>
      <x:c r="F17" s="5" t="n">
        <x:f>IF(COUNT(C17,E17)=2,ROUND(C17*E17,2),"Pendente")</x:f>
        <x:v>1575</x:v>
      </x:c>
      <x:c r="G17" s="5" t="n">
        <x:v>1575</x:v>
      </x:c>
      <x:c r="H17" s="5" t="n">
        <x:f>G17-F17</x:f>
        <x:v>0</x:v>
      </x:c>
      <x:c r="I17" s="17" t="str">
        <x:v>Branco liso fosco. Verba instalada mantida; modelos baratos brilhantes não equivalem ao aprovado.</x:v>
      </x:c>
      <x:c r="J17" s="17" t="str">
        <x:v>Orçamento R43, R04; Pisos_e_rodapes.md</x:v>
      </x:c>
    </x:row>
    <x:row r="18" ht="52" customHeight="1">
      <x:c r="A18" s="2" t="str">
        <x:v>R05</x:v>
      </x:c>
      <x:c r="B18" s="17" t="str">
        <x:v>Provisão de adequação acústica</x:v>
      </x:c>
      <x:c r="C18" s="18" t="n">
        <x:v>1</x:v>
      </x:c>
      <x:c r="D18" s="2" t="str">
        <x:v>verba</x:v>
      </x:c>
      <x:c r="E18" s="20" t="n">
        <x:v>1500</x:v>
      </x:c>
      <x:c r="F18" s="5" t="n">
        <x:f>IF(COUNT(C18,E18)=2,ROUND(C18*E18,2),"Pendente")</x:f>
        <x:v>1500</x:v>
      </x:c>
      <x:c r="G18" s="5" t="n">
        <x:v>1500</x:v>
      </x:c>
      <x:c r="H18" s="5" t="n">
        <x:f>G18-F18</x:f>
        <x:v>0</x:v>
      </x:c>
      <x:c r="I18" s="17" t="str">
        <x:v>Preservada até validar o sistema completo. Não significa instalar manta solta sob LVT colado.</x:v>
      </x:c>
      <x:c r="J18" s="17" t="str">
        <x:v>Orçamento R43, R05</x:v>
      </x:c>
    </x:row>
    <x:row r="19" ht="52" customHeight="1">
      <x:c r="A19" s="2" t="str">
        <x:v>R06</x:v>
      </x:c>
      <x:c r="B19" s="17" t="str">
        <x:v>Travertino Reale Greige Satin</x:v>
      </x:c>
      <x:c r="C19" s="18" t="n">
        <x:v>1</x:v>
      </x:c>
      <x:c r="D19" s="2" t="str">
        <x:v>verba</x:v>
      </x:c>
      <x:c r="E19" s="20" t="n">
        <x:v>328.22</x:v>
      </x:c>
      <x:c r="F19" s="5" t="n">
        <x:f>IF(COUNT(C19,E19)=2,ROUND(C19*E19,2),"Pendente")</x:f>
        <x:v>328.22</x:v>
      </x:c>
      <x:c r="G19" s="5" t="n">
        <x:v>328.22</x:v>
      </x:c>
      <x:c r="H19" s="5" t="n">
        <x:f>G19-F19</x:f>
        <x:v>0</x:v>
      </x:c>
      <x:c r="I19" s="17" t="str">
        <x:v>Valor histórico mantido. Caixa e paginação precisam ser conferidas; não trocar por polido.</x:v>
      </x:c>
      <x:c r="J19" s="17" t="str">
        <x:v>Orçamento R43, R06 (2,4 m² × R$136,76)</x:v>
      </x:c>
    </x:row>
    <x:row r="20" ht="52" customHeight="1">
      <x:c r="A20" s="2" t="str">
        <x:v>R07</x:v>
      </x:c>
      <x:c r="B20" s="17" t="str">
        <x:v>Travertino Reale Greige EXT</x:v>
      </x:c>
      <x:c r="C20" s="18" t="n">
        <x:v>1</x:v>
      </x:c>
      <x:c r="D20" s="2" t="str">
        <x:v>verba</x:v>
      </x:c>
      <x:c r="E20" s="20" t="n">
        <x:v>336</x:v>
      </x:c>
      <x:c r="F20" s="5" t="n">
        <x:f>IF(COUNT(C20,E20)=2,ROUND(C20*E20,2),"Pendente")</x:f>
        <x:v>336</x:v>
      </x:c>
      <x:c r="G20" s="5" t="n">
        <x:v>336</x:v>
      </x:c>
      <x:c r="H20" s="5" t="n">
        <x:f>G20-F20</x:f>
        <x:v>0</x:v>
      </x:c>
      <x:c r="I20" s="17" t="str">
        <x:v>Valor histórico estimado mantido. Acabamento próprio do box, separado do Satin.</x:v>
      </x:c>
      <x:c r="J20" s="17" t="str">
        <x:v>Orçamento R43, R07</x:v>
      </x:c>
    </x:row>
    <x:row r="21" ht="52" customHeight="1">
      <x:c r="A21" s="2" t="str">
        <x:v>R08</x:v>
      </x:c>
      <x:c r="B21" s="17" t="str">
        <x:v>Vivant Sauge Mate — parede focal</x:v>
      </x:c>
      <x:c r="C21" s="19" t="n">
        <x:f>'Quantidades'!B25</x:f>
        <x:v>11</x:v>
      </x:c>
      <x:c r="D21" s="2" t="str">
        <x:v>caixas</x:v>
      </x:c>
      <x:c r="E21" s="20" t="n">
        <x:f>'Quantidades'!B24</x:f>
        <x:v>72.87</x:v>
      </x:c>
      <x:c r="F21" s="5" t="n">
        <x:f>IF(COUNT(C21,E21)=2,ROUND(C21*E21,2),"Pendente")</x:f>
        <x:v>801.57</x:v>
      </x:c>
      <x:c r="G21" s="5" t="n">
        <x:v>1570.8</x:v>
      </x:c>
      <x:c r="H21" s="5" t="n">
        <x:f>G21-F21</x:f>
        <x:v>769.2299999999999</x:v>
      </x:c>
      <x:c r="I21" s="17" t="str">
        <x:v>11 caixas; parede hipotética 1,24 × 2,47 m e 15% de perda. Não é quantitativo de compra validado.</x:v>
      </x:c>
      <x:c r="J21" s="17" t="str">
        <x:v>https://www.construmarques.com.br/produto/revestimento-ceramico-acetinado-07x24cm-caixa-0-34m-portobello-vivant-sauge-bold-204214e-83380</x:v>
      </x:c>
    </x:row>
    <x:row r="22" ht="52" customHeight="1">
      <x:c r="A22" s="2" t="str">
        <x:v>R08B</x:v>
      </x:c>
      <x:c r="B22" s="17" t="str">
        <x:v>Revestimento claro das demais paredes</x:v>
      </x:c>
      <x:c r="C22" s="18" t="n">
        <x:f>'Quantidades'!B29</x:f>
        <x:v>5</x:v>
      </x:c>
      <x:c r="D22" s="2" t="str">
        <x:v>m²</x:v>
      </x:c>
      <x:c r="E22" s="20" t="n">
        <x:f>'Quantidades'!B30</x:f>
        <x:v>120</x:v>
      </x:c>
      <x:c r="F22" s="5" t="n">
        <x:f>IF(COUNT(C22,E22)=2,ROUND(C22*E22,2),"Pendente")</x:f>
        <x:v>600</x:v>
      </x:c>
      <x:c r="G22" s="5" t="n">
        <x:v>0</x:v>
      </x:c>
      <x:c r="H22" s="5" t="n">
        <x:f>G22-F22</x:f>
        <x:v>-600</x:v>
      </x:c>
      <x:c r="I22" s="17" t="str">
        <x:v>Nova verba explícita para substituir o verde nas outras paredes. Claro/bege fosco, SKU a escolher. Área e preço estimados.</x:v>
      </x:c>
      <x:c r="J22" s="17" t="str">
        <x:v>Decisões do banheiro, 18/09/2026; estimativa de R$120/m²</x:v>
      </x:c>
    </x:row>
    <x:row r="23" ht="52" customHeight="1">
      <x:c r="A23" s="2" t="str">
        <x:v>R09</x:v>
      </x:c>
      <x:c r="B23" s="17" t="str">
        <x:v>Eliane Iseo Marfim AC — lavanderia</x:v>
      </x:c>
      <x:c r="C23" s="18" t="n">
        <x:f>'Quantidades'!B18</x:f>
        <x:v>3.24</x:v>
      </x:c>
      <x:c r="D23" s="2" t="str">
        <x:v>m²</x:v>
      </x:c>
      <x:c r="E23" s="20" t="n">
        <x:f>'Quantidades'!B16</x:f>
        <x:v>129.47</x:v>
      </x:c>
      <x:c r="F23" s="5" t="n">
        <x:f>IF(COUNT(C23,E23)=2,ROUND(C23*E23,2),"Pendente")</x:f>
        <x:v>419.48</x:v>
      </x:c>
      <x:c r="G23" s="5" t="n">
        <x:v>583.2</x:v>
      </x:c>
      <x:c r="H23" s="5" t="n">
        <x:f>G23-F23</x:f>
        <x:v>163.72000000000003</x:v>
      </x:c>
      <x:c r="I23" s="17" t="str">
        <x:v>2 caixas de 1,62 m². Conferir lote de 10 mm. Outra versão oficial tem 2,43 m² e 8,5 mm.</x:v>
      </x:c>
      <x:c r="J23" s="17" t="str">
        <x:v>https://loja.tropobella.com.br/produto/porcelanato-iseo-marfim-ac-90x90-eliane/</x:v>
      </x:c>
    </x:row>
    <x:row r="24" ht="52" customHeight="1">
      <x:c r="A24" s="2" t="str">
        <x:v>R10</x:v>
      </x:c>
      <x:c r="B24" s="17" t="str">
        <x:v>Azulejo genérico da cozinha — retirado</x:v>
      </x:c>
      <x:c r="C24" s="18" t="n">
        <x:f>'Quantidades'!B32</x:f>
        <x:v>0</x:v>
      </x:c>
      <x:c r="D24" s="2" t="str">
        <x:v>m²</x:v>
      </x:c>
      <x:c r="E24" s="20" t="n">
        <x:v>120</x:v>
      </x:c>
      <x:c r="F24" s="5" t="n">
        <x:f>IF(COUNT(C24,E24)=2,ROUND(C24*E24,2),"Pendente")</x:f>
        <x:v>0</x:v>
      </x:c>
      <x:c r="G24" s="5" t="n">
        <x:v>480</x:v>
      </x:c>
      <x:c r="H24" s="5" t="n">
        <x:f>G24-F24</x:f>
        <x:v>480</x:v>
      </x:c>
      <x:c r="I24" s="17" t="str">
        <x:v>Duplicação de escopo: aprovado granito baixo + pintura fosca. Vinílico novo, pintura, pedra e retirada/preparo continuam previstos.</x:v>
      </x:c>
      <x:c r="J24" s="17" t="str">
        <x:v>Decisões da cozinha, 27/09; pintura, 12/10; conferência 22/10</x:v>
      </x:c>
    </x:row>
    <x:row r="25" ht="52" customHeight="1">
      <x:c r="A25" s="2" t="str">
        <x:v>R11</x:v>
      </x:c>
      <x:c r="B25" s="17" t="str">
        <x:v>Assentamento e provisão de preparo</x:v>
      </x:c>
      <x:c r="C25" s="18" t="n">
        <x:v>1</x:v>
      </x:c>
      <x:c r="D25" s="2" t="str">
        <x:v>verba</x:v>
      </x:c>
      <x:c r="E25" s="20" t="n">
        <x:f>'Quantidades'!B33*110+'Quantidades'!B37</x:f>
        <x:v>1760</x:v>
      </x:c>
      <x:c r="F25" s="5" t="n">
        <x:f>IF(COUNT(C25,E25)=2,ROUND(C25*E25,2),"Pendente")</x:f>
        <x:v>1760</x:v>
      </x:c>
      <x:c r="G25" s="5" t="n">
        <x:v>1760</x:v>
      </x:c>
      <x:c r="H25" s="5" t="n">
        <x:f>G25-F25</x:f>
        <x:v>0</x:v>
      </x:c>
      <x:c r="I25" s="17" t="str">
        <x:v>12 m² × R$110 = R$1.320 + R$440 preservados para preparo adicional/cobrança mínima. Evitar dupla contagem na pintura.</x:v>
      </x:c>
      <x:c r="J25" s="17" t="str">
        <x:v>Conferência de escopo 22/10; serviços estimados</x:v>
      </x:c>
    </x:row>
    <x:row r="26" ht="52" customHeight="1">
      <x:c r="A26" s="2" t="str">
        <x:v>R12</x:v>
      </x:c>
      <x:c r="B26" s="17" t="str">
        <x:v>Argamassa, rejunte e selantes</x:v>
      </x:c>
      <x:c r="C26" s="18" t="n">
        <x:v>1</x:v>
      </x:c>
      <x:c r="D26" s="2" t="str">
        <x:v>verba</x:v>
      </x:c>
      <x:c r="E26" s="20" t="n">
        <x:v>650</x:v>
      </x:c>
      <x:c r="F26" s="5" t="n">
        <x:f>IF(COUNT(C26,E26)=2,ROUND(C26*E26,2),"Pendente")</x:f>
        <x:v>650</x:v>
      </x:c>
      <x:c r="G26" s="5" t="n">
        <x:v>650</x:v>
      </x:c>
      <x:c r="H26" s="5" t="n">
        <x:f>G26-F26</x:f>
        <x:v>0</x:v>
      </x:c>
      <x:c r="I26" s="17" t="str">
        <x:v>Mantidos. Impermeabilização está em O04, fora desta categoria; não foi eliminada.</x:v>
      </x:c>
      <x:c r="J26" s="17" t="str">
        <x:v>Orçamento R43, R12</x:v>
      </x:c>
    </x:row>
    <x:row r="27">
      <x:c r="A27" s="2"/>
      <x:c r="B27" s="2"/>
      <x:c r="C27" s="2"/>
      <x:c r="D27" s="2"/>
      <x:c r="E27" s="5"/>
      <x:c r="F27" s="5"/>
      <x:c r="G27" s="5"/>
      <x:c r="H27" s="5"/>
      <x:c r="I27" s="2"/>
      <x:c r="J27" s="2"/>
    </x:row>
    <x:row r="28">
      <x:c r="A28" s="2"/>
      <x:c r="B28" s="8" t="str">
        <x:v>TOTAL</x:v>
      </x:c>
      <x:c r="C28" s="8"/>
      <x:c r="D28" s="8"/>
      <x:c r="E28" s="9"/>
      <x:c r="F28" s="9" t="n">
        <x:f>F6</x:f>
        <x:v>16998.129999999997</x:v>
      </x:c>
      <x:c r="G28" s="9" t="n">
        <x:f>F5</x:f>
        <x:v>20542.24</x:v>
      </x:c>
      <x:c r="H28" s="9" t="n">
        <x:f>F7</x:f>
        <x:v>3544.110000000004</x:v>
      </x:c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</x:sheetData>
  <x:conditionalFormatting sqref="F9:F9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9" hidden="0" customWidth="1"/>
    <x:col min="3" max="3" width="12" hidden="0" customWidth="1"/>
    <x:col min="4" max="4" width="90" hidden="0" customWidth="1"/>
    <x:col min="5" max="5" width="90" hidden="0" customWidth="1"/>
  </x:cols>
  <x:sheetData>
    <x:row r="1">
      <x:c r="A1" s="2"/>
      <x:c r="B1" s="2"/>
      <x:c r="C1" s="2"/>
      <x:c r="D1" s="2"/>
      <x:c r="E1" s="2"/>
    </x:row>
    <x:row r="2">
      <x:c r="A2" s="4" t="str">
        <x:v>Quantidades e premissas de orçamento</x:v>
      </x:c>
      <x:c r="B2" s="2"/>
      <x:c r="C2" s="2"/>
      <x:c r="D2" s="2"/>
      <x:c r="E2" s="2"/>
    </x:row>
    <x:row r="3">
      <x:c r="A3" s="2" t="str">
        <x:v>Azul = entrada editável. Geometria nominal não substitui medição e paginação.</x:v>
      </x:c>
      <x:c r="B3" s="2"/>
      <x:c r="C3" s="2"/>
      <x:c r="D3" s="2"/>
      <x:c r="E3" s="2"/>
    </x:row>
    <x:row r="4" ht="27" customHeight="1">
      <x:c r="A4" s="24" t="str">
        <x:v>Premissa</x:v>
      </x:c>
      <x:c r="B4" s="24" t="str">
        <x:v>Valor</x:v>
      </x:c>
      <x:c r="C4" s="24" t="str">
        <x:v>Unidade</x:v>
      </x:c>
      <x:c r="D4" s="24" t="str">
        <x:v>Critério</x:v>
      </x:c>
      <x:c r="E4" s="24" t="str">
        <x:v>Fonte</x:v>
      </x:c>
    </x:row>
    <x:row r="5" ht="43" customHeight="1">
      <x:c r="A5" s="2" t="str">
        <x:v>Área de vinílico mantida</x:v>
      </x:c>
      <x:c r="B5" s="22" t="n">
        <x:v>34</x:v>
      </x:c>
      <x:c r="C5" s="2" t="str">
        <x:v>m²</x:v>
      </x:c>
      <x:c r="D5" s="17" t="str">
        <x:v>Base conservadora anterior; não descontar área sob armários por suposição.</x:v>
      </x:c>
      <x:c r="E5" s="17" t="str">
        <x:v>Orçamento R43, R01–R03</x:v>
      </x:c>
    </x:row>
    <x:row r="6" ht="43" customHeight="1">
      <x:c r="A6" s="2" t="str">
        <x:v>Perda de vinílico</x:v>
      </x:c>
      <x:c r="B6" s="23" t="n">
        <x:v>0.1</x:v>
      </x:c>
      <x:c r="C6" s="2" t="str">
        <x:v>%</x:v>
      </x:c>
      <x:c r="D6" s="17" t="str">
        <x:v>Premissa de planejamento, a validar pela paginação.</x:v>
      </x:c>
      <x:c r="E6" s="17" t="str">
        <x:v>Orçamento anterior</x:v>
      </x:c>
    </x:row>
    <x:row r="7" ht="43" customHeight="1">
      <x:c r="A7" s="2" t="str">
        <x:v>Rendimento de caixa Olmo</x:v>
      </x:c>
      <x:c r="B7" s="22" t="n">
        <x:v>3.58</x:v>
      </x:c>
      <x:c r="C7" s="2" t="str">
        <x:v>m²/cx</x:v>
      </x:c>
      <x:c r="D7" s="17" t="str">
        <x:v>Mesmo código de produto.</x:v>
      </x:c>
      <x:c r="E7" s="17" t="str">
        <x:v>https://www.ligpisos.com.br/piso-ambienta-tarkett-new-design-3mm-capa-05mm-olmo</x:v>
      </x:c>
    </x:row>
    <x:row r="8" ht="43" customHeight="1">
      <x:c r="A8" s="2" t="str">
        <x:v>Preço Olmo no Pix</x:v>
      </x:c>
      <x:c r="B8" s="20" t="n">
        <x:v>166.7</x:v>
      </x:c>
      <x:c r="C8" s="2" t="str">
        <x:v>R$/m²</x:v>
      </x:c>
      <x:c r="D8" s="17" t="str">
        <x:v>Preço consultado em 22/10/2026. Frete a confirmar.</x:v>
      </x:c>
      <x:c r="E8" s="17" t="str">
        <x:v>https://www.ligpisos.com.br/piso-ambienta-tarkett-new-design-3mm-capa-05mm-olmo</x:v>
      </x:c>
    </x:row>
    <x:row r="9" ht="43" customHeight="1">
      <x:c r="A9" s="2" t="str">
        <x:v>Caixas inteiras Olmo</x:v>
      </x:c>
      <x:c r="B9" s="12" t="n">
        <x:f>ROUNDUP(B36*(1+B6)/B7,0)</x:f>
        <x:v>10</x:v>
      </x:c>
      <x:c r="C9" s="2" t="str">
        <x:v>caixas</x:v>
      </x:c>
      <x:c r="D9" s="17" t="str">
        <x:v>Área do plano de cortes + perda. Plano usa 136 das 140 réguas.</x:v>
      </x:c>
      <x:c r="E9" s="17" t="str">
        <x:v>Conferencia_dez_caixas.json</x:v>
      </x:c>
    </x:row>
    <x:row r="10" ht="43" customHeight="1">
      <x:c r="A10" s="2" t="str">
        <x:v>Área comprada Olmo</x:v>
      </x:c>
      <x:c r="B10" s="11" t="n">
        <x:f>B9*B7</x:f>
        <x:v>35.8</x:v>
      </x:c>
      <x:c r="C10" s="2" t="str">
        <x:v>m²</x:v>
      </x:c>
      <x:c r="D10" s="17" t="str">
        <x:v>Cobertura nominal das caixas.</x:v>
      </x:c>
      <x:c r="E10" s="17" t="str">
        <x:v>Cálculo</x:v>
      </x:c>
    </x:row>
    <x:row r="11" ht="43" customHeight="1">
      <x:c r="A11" s="2" t="str">
        <x:v>Largura lavanderia</x:v>
      </x:c>
      <x:c r="B11" s="22" t="n">
        <x:v>1.29</x:v>
      </x:c>
      <x:c r="C11" s="2" t="str">
        <x:v>m</x:v>
      </x:c>
      <x:c r="D11" s="17" t="str">
        <x:v>Cota nominal P01.</x:v>
      </x:c>
      <x:c r="E11" s="17" t="str">
        <x:v>Medidas/Dados_das_medidas_R00.json</x:v>
      </x:c>
    </x:row>
    <x:row r="12" ht="43" customHeight="1">
      <x:c r="A12" s="2" t="str">
        <x:v>Profundidade lavanderia</x:v>
      </x:c>
      <x:c r="B12" s="22" t="n">
        <x:v>1.54</x:v>
      </x:c>
      <x:c r="C12" s="2" t="str">
        <x:v>m</x:v>
      </x:c>
      <x:c r="D12" s="17" t="str">
        <x:v>P01; o CAD usa 1,61 m. Ambas resultam em duas caixas com esta perda.</x:v>
      </x:c>
      <x:c r="E12" s="17" t="str">
        <x:v>Medidas/Dados_das_medidas_R00.json</x:v>
      </x:c>
    </x:row>
    <x:row r="13" ht="43" customHeight="1">
      <x:c r="A13" s="2" t="str">
        <x:v>Área lavanderia</x:v>
      </x:c>
      <x:c r="B13" s="11" t="n">
        <x:f>B11*B12</x:f>
        <x:v>1.9866000000000001</x:v>
      </x:c>
      <x:c r="C13" s="2" t="str">
        <x:v>m²</x:v>
      </x:c>
      <x:c r="D13" s="17" t="str">
        <x:v>Sem deduzir móveis.</x:v>
      </x:c>
      <x:c r="E13" s="17" t="str">
        <x:v>Cálculo</x:v>
      </x:c>
    </x:row>
    <x:row r="14" ht="43" customHeight="1">
      <x:c r="A14" s="2" t="str">
        <x:v>Perda lavanderia</x:v>
      </x:c>
      <x:c r="B14" s="23" t="n">
        <x:v>0.1</x:v>
      </x:c>
      <x:c r="C14" s="2" t="str">
        <x:v>%</x:v>
      </x:c>
      <x:c r="D14" s="17" t="str">
        <x:v>Duas caixas dão quatro peças; caimentos, recortes e reserva a validar.</x:v>
      </x:c>
      <x:c r="E14" s="17" t="str">
        <x:v>Premissa</x:v>
      </x:c>
    </x:row>
    <x:row r="15" ht="43" customHeight="1">
      <x:c r="A15" s="2" t="str">
        <x:v>Rendimento de caixa Iseo</x:v>
      </x:c>
      <x:c r="B15" s="22" t="n">
        <x:v>1.62</x:v>
      </x:c>
      <x:c r="C15" s="2" t="str">
        <x:v>m²/cx</x:v>
      </x:c>
      <x:c r="D15" s="17" t="str">
        <x:v>Versão anunciada de 10 mm; não misturar com versão 2,43 m².</x:v>
      </x:c>
      <x:c r="E15" s="17" t="str">
        <x:v>Tropo Bella</x:v>
      </x:c>
    </x:row>
    <x:row r="16" ht="43" customHeight="1">
      <x:c r="A16" s="2" t="str">
        <x:v>Preço Iseo</x:v>
      </x:c>
      <x:c r="B16" s="20" t="n">
        <x:v>129.47</x:v>
      </x:c>
      <x:c r="C16" s="2" t="str">
        <x:v>R$/m²</x:v>
      </x:c>
      <x:c r="D16" s="17" t="str">
        <x:v>Preço consultado em 22/10/2026. Frete a confirmar.</x:v>
      </x:c>
      <x:c r="E16" s="17" t="str">
        <x:v>https://loja.tropobella.com.br/produto/porcelanato-iseo-marfim-ac-90x90-eliane/</x:v>
      </x:c>
    </x:row>
    <x:row r="17" ht="43" customHeight="1">
      <x:c r="A17" s="2" t="str">
        <x:v>Caixas inteiras Iseo</x:v>
      </x:c>
      <x:c r="B17" s="12" t="n">
        <x:f>ROUNDUP(B13*(1+B14)/B15,0)</x:f>
        <x:v>2</x:v>
      </x:c>
      <x:c r="C17" s="2" t="str">
        <x:v>caixas</x:v>
      </x:c>
      <x:c r="D17" s="17" t="str">
        <x:v>Arredondamento para caixa inteira.</x:v>
      </x:c>
      <x:c r="E17" s="17" t="str">
        <x:v>Cálculo</x:v>
      </x:c>
    </x:row>
    <x:row r="18" ht="43" customHeight="1">
      <x:c r="A18" s="2" t="str">
        <x:v>Área comprada Iseo</x:v>
      </x:c>
      <x:c r="B18" s="11" t="n">
        <x:f>B17*B15</x:f>
        <x:v>3.24</x:v>
      </x:c>
      <x:c r="C18" s="2" t="str">
        <x:v>m²</x:v>
      </x:c>
      <x:c r="D18" s="17" t="str">
        <x:v>2 caixas: 3,24 m².</x:v>
      </x:c>
      <x:c r="E18" s="17" t="str">
        <x:v>Cálculo</x:v>
      </x:c>
    </x:row>
    <x:row r="19" ht="43" customHeight="1">
      <x:c r="A19" s="2" t="str">
        <x:v>Largura da parede verde</x:v>
      </x:c>
      <x:c r="B19" s="25" t="n">
        <x:v>1.24</x:v>
      </x:c>
      <x:c r="C19" s="2" t="str">
        <x:v>m</x:v>
      </x:c>
      <x:c r="D19" s="17" t="str">
        <x:v>Hipótese: parede de 1,24 m; posição e encontros a conferir.</x:v>
      </x:c>
      <x:c r="E19" s="17" t="str">
        <x:v>Banheiro/Decisoes_consolidadas_2026-09-18.md</x:v>
      </x:c>
    </x:row>
    <x:row r="20" ht="43" customHeight="1">
      <x:c r="A20" s="2" t="str">
        <x:v>Altura do revestimento</x:v>
      </x:c>
      <x:c r="B20" s="25" t="n">
        <x:v>2.47</x:v>
      </x:c>
      <x:c r="C20" s="2" t="str">
        <x:v>m</x:v>
      </x:c>
      <x:c r="D20" s="17" t="str">
        <x:v>Hipótese visual; não é pé-direito medido.</x:v>
      </x:c>
      <x:c r="E20" s="17" t="str">
        <x:v>Banheiro/Visualizacao_2026-09-18.md</x:v>
      </x:c>
    </x:row>
    <x:row r="21" ht="43" customHeight="1">
      <x:c r="A21" s="2" t="str">
        <x:v>Área verde nominal</x:v>
      </x:c>
      <x:c r="B21" s="11" t="n">
        <x:f>B19*B20</x:f>
        <x:v>3.0628</x:v>
      </x:c>
      <x:c r="C21" s="2" t="str">
        <x:v>m²</x:v>
      </x:c>
      <x:c r="D21" s="17" t="str">
        <x:v>Não desconta janela ou enchimento sem levantamento.</x:v>
      </x:c>
      <x:c r="E21" s="17" t="str">
        <x:v>Cálculo</x:v>
      </x:c>
    </x:row>
    <x:row r="22" ht="43" customHeight="1">
      <x:c r="A22" s="2" t="str">
        <x:v>Perda do revestimento verde</x:v>
      </x:c>
      <x:c r="B22" s="23" t="n">
        <x:v>0.15</x:v>
      </x:c>
      <x:c r="C22" s="2" t="str">
        <x:v>%</x:v>
      </x:c>
      <x:c r="D22" s="17" t="str">
        <x:v>Premissa para peças pequenas e cortes. Paginação ainda pendente.</x:v>
      </x:c>
      <x:c r="E22" s="17" t="str">
        <x:v>Estimativa</x:v>
      </x:c>
    </x:row>
    <x:row r="23" ht="43" customHeight="1">
      <x:c r="A23" s="2" t="str">
        <x:v>Rendimento de caixa Vivant</x:v>
      </x:c>
      <x:c r="B23" s="22" t="n">
        <x:v>0.34</x:v>
      </x:c>
      <x:c r="C23" s="2" t="str">
        <x:v>m²/cx</x:v>
      </x:c>
      <x:c r="D23" s="17" t="str">
        <x:v>20 peças por caixa; código 204214E.</x:v>
      </x:c>
      <x:c r="E23" s="17" t="str">
        <x:v>https://www.construmarques.com.br/produto/revestimento-ceramico-acetinado-07x24cm-caixa-0-34m-portobello-vivant-sauge-bold-204214e-83380</x:v>
      </x:c>
    </x:row>
    <x:row r="24" ht="43" customHeight="1">
      <x:c r="A24" s="2" t="str">
        <x:v>Preço por caixa Vivant</x:v>
      </x:c>
      <x:c r="B24" s="20" t="n">
        <x:v>72.87</x:v>
      </x:c>
      <x:c r="C24" s="2" t="str">
        <x:v>R$/cx</x:v>
      </x:c>
      <x:c r="D24" s="17" t="str">
        <x:v>Preço da caixa anunciado; evita divergência de centavos por conversão de m².</x:v>
      </x:c>
      <x:c r="E24" s="17" t="str">
        <x:v>https://www.construmarques.com.br/produto/revestimento-ceramico-acetinado-07x24cm-caixa-0-34m-portobello-vivant-sauge-bold-204214e-83380</x:v>
      </x:c>
    </x:row>
    <x:row r="25" ht="43" customHeight="1">
      <x:c r="A25" s="2" t="str">
        <x:v>Caixas inteiras Vivant</x:v>
      </x:c>
      <x:c r="B25" s="12" t="n">
        <x:f>ROUNDUP(B21*(1+B22)/B23,0)</x:f>
        <x:v>11</x:v>
      </x:c>
      <x:c r="C25" s="2" t="str">
        <x:v>caixas</x:v>
      </x:c>
      <x:c r="D25" s="17" t="str">
        <x:v>Uma parede verde.</x:v>
      </x:c>
      <x:c r="E25" s="17" t="str">
        <x:v>Cálculo</x:v>
      </x:c>
    </x:row>
    <x:row r="26" ht="43" customHeight="1">
      <x:c r="A26" s="2" t="str">
        <x:v>Área comprada Vivant</x:v>
      </x:c>
      <x:c r="B26" s="11" t="n">
        <x:f>B25*B23</x:f>
        <x:v>3.74</x:v>
      </x:c>
      <x:c r="C26" s="2" t="str">
        <x:v>m²</x:v>
      </x:c>
      <x:c r="D26" s="17" t="str">
        <x:v>11 caixas: 3,74 m².</x:v>
      </x:c>
      <x:c r="E26" s="17" t="str">
        <x:v>Cálculo</x:v>
      </x:c>
    </x:row>
    <x:row r="27" ht="43" customHeight="1">
      <x:c r="A27" s="2" t="str">
        <x:v>Profundidade nominal do box</x:v>
      </x:c>
      <x:c r="B27" s="25" t="n">
        <x:v>0.8</x:v>
      </x:c>
      <x:c r="C27" s="2" t="str">
        <x:v>m</x:v>
      </x:c>
      <x:c r="D27" s="17" t="str">
        <x:v>Hipótese do estudo, não medida oficial.</x:v>
      </x:c>
      <x:c r="E27" s="17" t="str">
        <x:v>Banheiro/Decisoes_consolidadas_2026-09-18.md</x:v>
      </x:c>
    </x:row>
    <x:row r="28" ht="43" customHeight="1">
      <x:c r="A28" s="2" t="str">
        <x:v>Área das duas paredes claras</x:v>
      </x:c>
      <x:c r="B28" s="26" t="n">
        <x:f>2*B27*B20</x:f>
        <x:v>3.9520000000000004</x:v>
      </x:c>
      <x:c r="C28" s="2" t="str">
        <x:v>m²</x:v>
      </x:c>
      <x:c r="D28" s="17" t="str">
        <x:v>Hipótese de duas laterais de 0,80 × 2,47 m, sem desconto de aberturas.</x:v>
      </x:c>
      <x:c r="E28" s="17" t="str">
        <x:v>Cálculo</x:v>
      </x:c>
    </x:row>
    <x:row r="29" ht="43" customHeight="1">
      <x:c r="A29" s="2" t="str">
        <x:v>Compra provisória revestimento claro</x:v>
      </x:c>
      <x:c r="B29" s="25" t="n">
        <x:v>5</x:v>
      </x:c>
      <x:c r="C29" s="2" t="str">
        <x:v>m²</x:v>
      </x:c>
      <x:c r="D29" s="17" t="str">
        <x:v>Reserva de compra com cortes. SKU e embalagem não definidos; não é pedido ao fornecedor.</x:v>
      </x:c>
      <x:c r="E29" s="17" t="str">
        <x:v>Estimativa para manter claro/bege fosco</x:v>
      </x:c>
    </x:row>
    <x:row r="30" ht="43" customHeight="1">
      <x:c r="A30" s="2" t="str">
        <x:v>Preço provisório revestimento claro</x:v>
      </x:c>
      <x:c r="B30" s="27" t="n">
        <x:v>120</x:v>
      </x:c>
      <x:c r="C30" s="2" t="str">
        <x:v>R$/m²</x:v>
      </x:c>
      <x:c r="D30" s="17" t="str">
        <x:v>Verba de material; escolher amostra compatível.</x:v>
      </x:c>
      <x:c r="E30" s="17" t="str">
        <x:v>Estimativa, sem oferta selecionada</x:v>
      </x:c>
    </x:row>
    <x:row r="31" ht="43" customHeight="1">
      <x:c r="A31" s="2" t="str">
        <x:v>Área nominal do banheiro</x:v>
      </x:c>
      <x:c r="B31" s="22" t="n">
        <x:v>2.5916</x:v>
      </x:c>
      <x:c r="C31" s="2" t="str">
        <x:v>m²</x:v>
      </x:c>
      <x:c r="D31" s="17" t="str">
        <x:v>2,09 × 1,24 m.</x:v>
      </x:c>
      <x:c r="E31" s="17" t="str">
        <x:v>Planta P01</x:v>
      </x:c>
    </x:row>
    <x:row r="32" ht="43" customHeight="1">
      <x:c r="A32" s="2" t="str">
        <x:v>Azulejo genérico da cozinha</x:v>
      </x:c>
      <x:c r="B32" s="22" t="n">
        <x:v>0</x:v>
      </x:c>
      <x:c r="C32" s="2" t="str">
        <x:v>m²</x:v>
      </x:c>
      <x:c r="D32" s="17" t="str">
        <x:v>Retirado por duplicar granito baixo + pintura aprovados. Acabamento novo permanece.</x:v>
      </x:c>
      <x:c r="E32" s="17" t="str">
        <x:v>Decisões da cozinha e conferência 22/10</x:v>
      </x:c>
    </x:row>
    <x:row r="33" ht="43" customHeight="1">
      <x:c r="A33" s="2" t="str">
        <x:v>Área de assentamento cerâmico</x:v>
      </x:c>
      <x:c r="B33" s="11" t="n">
        <x:f>ROUNDUP(SUM(B13,B21,B28,B31,B32),0)</x:f>
        <x:v>12</x:v>
      </x:c>
      <x:c r="C33" s="2" t="str">
        <x:v>m²</x:v>
      </x:c>
      <x:c r="D33" s="17" t="str">
        <x:v>Lavanderia + piso banheiro + paredes box + provisão cozinha. Arredondada acima.</x:v>
      </x:c>
      <x:c r="E33" s="17" t="str">
        <x:v>Cálculo</x:v>
      </x:c>
    </x:row>
    <x:row r="34" ht="43" customHeight="1">
      <x:c r="A34" s="2" t="str">
        <x:v>Soma bruta pisos vinílicos CAD</x:v>
      </x:c>
      <x:c r="B34" s="22" t="n">
        <x:v>31.4485</x:v>
      </x:c>
      <x:c r="C34" s="2" t="str">
        <x:v>m²</x:v>
      </x:c>
      <x:c r="D34" s="17" t="str">
        <x:v>Os 0,49 m² sobrepostos NÃO foram deduzidos do plano. Serviço mantém 34 m².</x:v>
      </x:c>
      <x:c r="E34" s="17" t="str">
        <x:v>Pisos_area_conferencia.json; R43 e R44 iguais</x:v>
      </x:c>
    </x:row>
    <x:row r="35" ht="43" customHeight="1">
      <x:c r="A35" s="2" t="str">
        <x:v>Meta de pisos e revestimentos</x:v>
      </x:c>
      <x:c r="B35" s="20" t="n">
        <x:v>17000</x:v>
      </x:c>
      <x:c r="C35" s="2" t="str">
        <x:v>R$</x:v>
      </x:c>
      <x:c r="D35" s="17" t="str">
        <x:v>Parte do teto de execução de R$120 mil; reserva de R$10 mil separada.</x:v>
      </x:c>
      <x:c r="E35" s="17" t="str">
        <x:v>Limite_e_metas_130mil.json</x:v>
      </x:c>
    </x:row>
    <x:row r="36" ht="48" customHeight="1">
      <x:c r="A36" s="2" t="str">
        <x:v>Área conservadora para compra</x:v>
      </x:c>
      <x:c r="B36" s="28" t="n">
        <x:v>31.9285</x:v>
      </x:c>
      <x:c r="C36" s="2" t="str">
        <x:v>m²</x:v>
      </x:c>
      <x:c r="D36" s="17" t="str">
        <x:v>Soma bruta 31,4485 + quatro passagens de 0,80 × 0,15 = 0,48 m². Medidas nominais.</x:v>
      </x:c>
      <x:c r="E36" s="17" t="str">
        <x:v>Conferencia_dez_caixas.json</x:v>
      </x:c>
    </x:row>
    <x:row r="37" ht="48" customHeight="1">
      <x:c r="A37" s="2" t="str">
        <x:v>Provisão preservada de serviço</x:v>
      </x:c>
      <x:c r="B37" s="20" t="n">
        <x:v>440</x:v>
      </x:c>
      <x:c r="C37" s="2" t="str">
        <x:v>R$</x:v>
      </x:c>
      <x:c r="D37" s="17" t="str">
        <x:v>Mantida do assentamento genérico da cozinha; para preparo adicional/cobrança mínima, sem duplicação.</x:v>
      </x:c>
      <x:c r="E37" s="17" t="str">
        <x:v>R11 da revisão anterior</x:v>
      </x:c>
    </x:row>
    <x:row r="38">
      <x:c r="A38" s="2"/>
      <x:c r="B38" s="2"/>
      <x:c r="C38" s="2"/>
      <x:c r="D38" s="2"/>
      <x:c r="E38" s="2"/>
    </x:row>
  </x:sheetData>
  <x:pageMargins left="0.7" right="0.7" top="0.75" bottom="0.75" header="0.3" footer="0.3"/>
</x:worksheet>
</file>