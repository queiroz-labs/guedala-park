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43405d996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5cf0da3f1714ea3"/>
    <x:sheet xmlns:r="http://schemas.openxmlformats.org/officeDocument/2006/relationships" name="Itens" sheetId="2" r:id="R9dbc44273646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&quot;R$&quot; #,##0.00;(&quot;R$&quot; #,##0.00);&quot;–&quot;"/>
    <x:numFmt numFmtId="202" formatCode="0.0%"/>
    <x:numFmt numFmtId="203" formatCode="0.##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20"/>
      <x:color rgb="FFFFFFFF"/>
      <x:name val="Arial"/>
    </x:font>
    <x:font>
      <x:sz val="10"/>
      <x:color rgb="FF165BC4"/>
      <x:name val="Arial"/>
    </x:font>
    <x:font>
      <x:b/>
      <x:sz val="10"/>
      <x:color rgb="FF193C40"/>
      <x:name val="Arial"/>
    </x:font>
    <x:font>
      <x:b/>
      <x:sz val="13"/>
      <x:color rgb="FFFFFFFF"/>
      <x:name val="Arial"/>
    </x:font>
    <x:font>
      <x:b/>
      <x:sz val="10"/>
      <x:color rgb="FF6B3500"/>
      <x:name val="Arial"/>
    </x:font>
    <x:font>
      <x:b/>
      <x:sz val="18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93C40"/>
      </x:patternFill>
    </x:fill>
    <x:fill>
      <x:patternFill patternType="solid">
        <x:fgColor rgb="FFD9E7E5"/>
      </x:patternFill>
    </x:fill>
    <x:fill>
      <x:patternFill patternType="solid">
        <x:fgColor rgb="FFF8E6CE"/>
      </x:patternFill>
    </x:fill>
    <x:fill>
      <x:patternFill patternType="solid">
        <x:fgColor rgb="FFEDF3F2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/>
    <x:xf numFmtId="0" fontId="6" fillId="2" borderId="0" xfId="0" applyNumberFormat="1" applyFont="1" applyFill="1" applyBorder="1"/>
    <x:xf numFmtId="201" fontId="6" fillId="2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8" fillId="2" borderId="0" xfId="0" applyNumberFormat="1" applyFont="1" applyFill="1" applyBorder="1"/>
    <x:xf numFmtId="201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3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47a4b527a46b8" /><Relationship Type="http://schemas.openxmlformats.org/officeDocument/2006/relationships/theme" Target="/xl/theme/theme1.xml" Id="R3e04bbb104bb4bb7" /><Relationship Type="http://schemas.openxmlformats.org/officeDocument/2006/relationships/sharedStrings" Target="/xl/sharedStrings.xml" Id="R76a8402c88f54aca" /><Relationship Type="http://schemas.openxmlformats.org/officeDocument/2006/relationships/worksheet" Target="/xl/worksheets/sheet1.xml" Id="Rd5cf0da3f1714ea3" /><Relationship Type="http://schemas.openxmlformats.org/officeDocument/2006/relationships/worksheet" Target="/xl/worksheets/sheet2.xml" Id="R9dbc442736464ae2" /></Relationships>
</file>

<file path=xl/tables/table1.xml><?xml version="1.0" encoding="utf-8"?>
<x:table xmlns:x="http://schemas.openxmlformats.org/spreadsheetml/2006/main" id="1" name="ItensOrcamento" displayName="ItensOrcamento" ref="A5:J104" headerRowCount="1" totalsRowCount="0" totalsRowShown="0">
  <x:tableColumns count="10">
    <x:tableColumn id="1" name="ID"/>
    <x:tableColumn id="2" name="Categoria"/>
    <x:tableColumn id="3" name="Ambiente"/>
    <x:tableColumn id="4" name="Item / escopo"/>
    <x:tableColumn id="5" name="Qtd."/>
    <x:tableColumn id="6" name="Unid."/>
    <x:tableColumn id="7" name="Preço unitário"/>
    <x:tableColumn id="8" name="Total"/>
    <x:tableColumn id="9" name="Base do preço"/>
    <x:tableColumn id="10" name="Premissas / inclus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f42702b1f44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21" customHeight="1">
      <x:c r="A1" s="4" t="str">
        <x:v>GUEDALA PARK | ORÇAMENTO R43</x:v>
      </x:c>
      <x:c r="B1" s="4"/>
      <x:c r="C1" s="4"/>
      <x:c r="D1" s="4"/>
      <x:c r="E1" s="4"/>
      <x:c r="F1" s="4"/>
    </x:row>
    <x:row r="2" ht="21" customHeight="1">
      <x:c r="A2" s="4"/>
      <x:c r="B2" s="4"/>
      <x:c r="C2" s="4"/>
      <x:c r="D2" s="4"/>
      <x:c r="E2" s="4"/>
      <x:c r="F2" s="4"/>
    </x:row>
    <x:row r="3" ht="21" customHeight="1">
      <x:c r="A3" s="2" t="str">
        <x:v>22/10/2026 • planejamento preliminar • referências web + estimativas explícitas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21" customHeight="1">
      <x:c r="A5" s="2" t="str">
        <x:v>Teto informado</x:v>
      </x:c>
      <x:c r="B5" s="2"/>
      <x:c r="C5" s="2"/>
      <x:c r="D5" s="9" t="n">
        <x:v>105000</x:v>
      </x:c>
      <x:c r="E5" s="2"/>
      <x:c r="F5" s="2"/>
    </x:row>
    <x:row r="6" ht="21" customHeight="1">
      <x:c r="A6" s="2" t="str">
        <x:v>Reserva para imprevistos</x:v>
      </x:c>
      <x:c r="B6" s="2"/>
      <x:c r="C6" s="2"/>
      <x:c r="D6" s="10" t="n">
        <x:v>0.1</x:v>
      </x:c>
      <x:c r="E6" s="2"/>
      <x:c r="F6" s="2"/>
    </x:row>
    <x:row r="7" ht="21" customHeight="1">
      <x:c r="A7" s="2"/>
      <x:c r="B7" s="2"/>
      <x:c r="C7" s="2"/>
      <x:c r="D7" s="2"/>
      <x:c r="E7" s="2"/>
      <x:c r="F7" s="2"/>
    </x:row>
    <x:row r="8" ht="21" customHeight="1">
      <x:c r="A8" s="12" t="str">
        <x:v>Categoria</x:v>
      </x:c>
      <x:c r="B8" s="12"/>
      <x:c r="C8" s="12"/>
      <x:c r="D8" s="12" t="str">
        <x:v>Total</x:v>
      </x:c>
      <x:c r="E8" s="12" t="str">
        <x:v>% subtotal</x:v>
      </x:c>
      <x:c r="F8" s="12"/>
    </x:row>
    <x:row r="9" ht="21" customHeight="1">
      <x:c r="A9" s="2" t="str">
        <x:v>Marcenaria</x:v>
      </x:c>
      <x:c r="B9" s="2"/>
      <x:c r="C9" s="2"/>
      <x:c r="D9" s="7" t="n">
        <x:f>SUMIF('Itens'!$B$6:$B$104,A9,'Itens'!$H$6:$H$104)</x:f>
        <x:v>46550</x:v>
      </x:c>
      <x:c r="E9" s="8" t="n">
        <x:f>D9/$D$21</x:f>
        <x:v>0.3256904637832204</x:v>
      </x:c>
      <x:c r="F9" s="2"/>
    </x:row>
    <x:row r="10" ht="21" customHeight="1">
      <x:c r="A10" s="2" t="str">
        <x:v>Eletros e TV</x:v>
      </x:c>
      <x:c r="B10" s="2"/>
      <x:c r="C10" s="2"/>
      <x:c r="D10" s="7" t="n">
        <x:f>SUMIF('Itens'!$B$6:$B$104,A10,'Itens'!$H$6:$H$104)</x:f>
        <x:v>19000.600000000002</x:v>
      </x:c>
      <x:c r="E10" s="8" t="n">
        <x:f>D10/$D$21</x:f>
        <x:v>0.13293908112050395</x:v>
      </x:c>
      <x:c r="F10" s="2"/>
    </x:row>
    <x:row r="11" ht="21" customHeight="1">
      <x:c r="A11" s="2" t="str">
        <x:v>Móveis e tecidos</x:v>
      </x:c>
      <x:c r="B11" s="2"/>
      <x:c r="C11" s="2"/>
      <x:c r="D11" s="7" t="n">
        <x:f>SUMIF('Itens'!$B$6:$B$104,A11,'Itens'!$H$6:$H$104)</x:f>
        <x:v>11388.93</x:v>
      </x:c>
      <x:c r="E11" s="8" t="n">
        <x:f>D11/$D$21</x:f>
        <x:v>0.0796834778452123</x:v>
      </x:c>
      <x:c r="F11" s="2"/>
    </x:row>
    <x:row r="12" ht="21" customHeight="1">
      <x:c r="A12" s="2" t="str">
        <x:v>Pisos e revestimentos</x:v>
      </x:c>
      <x:c r="B12" s="2"/>
      <x:c r="C12" s="2"/>
      <x:c r="D12" s="7" t="n">
        <x:f>SUMIF('Itens'!$B$6:$B$104,A12,'Itens'!$H$6:$H$104)</x:f>
        <x:v>20542.24</x:v>
      </x:c>
      <x:c r="E12" s="8" t="n">
        <x:f>D12/$D$21</x:f>
        <x:v>0.14372527761001552</x:v>
      </x:c>
      <x:c r="F12" s="2"/>
    </x:row>
    <x:row r="13" ht="21" customHeight="1">
      <x:c r="A13" s="2" t="str">
        <x:v>Obra e pintura</x:v>
      </x:c>
      <x:c r="B13" s="2"/>
      <x:c r="C13" s="2"/>
      <x:c r="D13" s="7" t="n">
        <x:f>SUMIF('Itens'!$B$6:$B$104,A13,'Itens'!$H$6:$H$104)</x:f>
        <x:v>11560</x:v>
      </x:c>
      <x:c r="E13" s="8" t="n">
        <x:f>D13/$D$21</x:f>
        <x:v>0.08088038155389964</x:v>
      </x:c>
      <x:c r="F13" s="2"/>
    </x:row>
    <x:row r="14" ht="21" customHeight="1">
      <x:c r="A14" s="2" t="str">
        <x:v>Instalações</x:v>
      </x:c>
      <x:c r="B14" s="2"/>
      <x:c r="C14" s="2"/>
      <x:c r="D14" s="7" t="n">
        <x:f>SUMIF('Itens'!$B$6:$B$104,A14,'Itens'!$H$6:$H$104)</x:f>
        <x:v>10100</x:v>
      </x:c>
      <x:c r="E14" s="8" t="n">
        <x:f>D14/$D$21</x:f>
        <x:v>0.07066538526768049</x:v>
      </x:c>
      <x:c r="F14" s="2"/>
    </x:row>
    <x:row r="15" ht="21" customHeight="1">
      <x:c r="A15" s="2" t="str">
        <x:v>Pedras e box</x:v>
      </x:c>
      <x:c r="B15" s="2"/>
      <x:c r="C15" s="2"/>
      <x:c r="D15" s="7" t="n">
        <x:f>SUMIF('Itens'!$B$6:$B$104,A15,'Itens'!$H$6:$H$104)</x:f>
        <x:v>6700</x:v>
      </x:c>
      <x:c r="E15" s="8" t="n">
        <x:f>D15/$D$21</x:f>
        <x:v>0.046877037751827645</x:v>
      </x:c>
      <x:c r="F15" s="2"/>
    </x:row>
    <x:row r="16" ht="21" customHeight="1">
      <x:c r="A16" s="2" t="str">
        <x:v>Louças e metais</x:v>
      </x:c>
      <x:c r="B16" s="2"/>
      <x:c r="C16" s="2"/>
      <x:c r="D16" s="7" t="n">
        <x:f>SUMIF('Itens'!$B$6:$B$104,A16,'Itens'!$H$6:$H$104)</x:f>
        <x:v>4945.35</x:v>
      </x:c>
      <x:c r="E16" s="8" t="n">
        <x:f>D16/$D$21</x:f>
        <x:v>0.034600501290447894</x:v>
      </x:c>
      <x:c r="F16" s="2"/>
    </x:row>
    <x:row r="17" ht="21" customHeight="1">
      <x:c r="A17" s="2" t="str">
        <x:v>Iluminação</x:v>
      </x:c>
      <x:c r="B17" s="2"/>
      <x:c r="C17" s="2"/>
      <x:c r="D17" s="7" t="n">
        <x:f>SUMIF('Itens'!$B$6:$B$104,A17,'Itens'!$H$6:$H$104)</x:f>
        <x:v>3540</x:v>
      </x:c>
      <x:c r="E17" s="8" t="n">
        <x:f>D17/$D$21</x:f>
        <x:v>0.024767867707682068</x:v>
      </x:c>
      <x:c r="F17" s="2"/>
    </x:row>
    <x:row r="18" ht="21" customHeight="1">
      <x:c r="A18" s="2" t="str">
        <x:v>Complementos fixos</x:v>
      </x:c>
      <x:c r="B18" s="2"/>
      <x:c r="C18" s="2"/>
      <x:c r="D18" s="7" t="n">
        <x:f>SUMIF('Itens'!$B$6:$B$104,A18,'Itens'!$H$6:$H$104)</x:f>
        <x:v>750</x:v>
      </x:c>
      <x:c r="E18" s="8" t="n">
        <x:f>D18/$D$21</x:f>
        <x:v>0.005247429599085184</x:v>
      </x:c>
      <x:c r="F18" s="2"/>
    </x:row>
    <x:row r="19" ht="21" customHeight="1">
      <x:c r="A19" s="2" t="str">
        <x:v>Coordenação e logística</x:v>
      </x:c>
      <x:c r="B19" s="2"/>
      <x:c r="C19" s="2"/>
      <x:c r="D19" s="7" t="n">
        <x:f>SUMIF('Itens'!$B$6:$B$104,A19,'Itens'!$H$6:$H$104)</x:f>
        <x:v>7850</x:v>
      </x:c>
      <x:c r="E19" s="8" t="n">
        <x:f>D19/$D$21</x:f>
        <x:v>0.054923096470424926</x:v>
      </x:c>
      <x:c r="F19" s="2"/>
    </x:row>
    <x:row r="20" ht="21" customHeight="1">
      <x:c r="A20" s="2"/>
      <x:c r="B20" s="2"/>
      <x:c r="C20" s="2"/>
      <x:c r="D20" s="7"/>
      <x:c r="E20" s="2"/>
      <x:c r="F20" s="2"/>
    </x:row>
    <x:row r="21" ht="21" customHeight="1">
      <x:c r="A21" s="2" t="str">
        <x:v>Subtotal de execução</x:v>
      </x:c>
      <x:c r="B21" s="2"/>
      <x:c r="C21" s="2"/>
      <x:c r="D21" s="7" t="n">
        <x:f>SUM(D9:D19)</x:f>
        <x:v>142927.12</x:v>
      </x:c>
      <x:c r="E21" s="2"/>
      <x:c r="F21" s="2"/>
    </x:row>
    <x:row r="22" ht="21" customHeight="1">
      <x:c r="A22" s="2" t="str">
        <x:v>Reserva para imprevistos</x:v>
      </x:c>
      <x:c r="B22" s="2"/>
      <x:c r="C22" s="2"/>
      <x:c r="D22" s="7" t="n">
        <x:f>ROUND(D21*D6,2)</x:f>
        <x:v>14292.71</x:v>
      </x:c>
      <x:c r="E22" s="2"/>
      <x:c r="F22" s="2"/>
    </x:row>
    <x:row r="23" ht="21" customHeight="1">
      <x:c r="A23" s="16" t="str">
        <x:v>TOTAL PREVISTO</x:v>
      </x:c>
      <x:c r="B23" s="16"/>
      <x:c r="C23" s="16"/>
      <x:c r="D23" s="17" t="n">
        <x:f>SUM(D21:D22)</x:f>
        <x:v>157219.83</x:v>
      </x:c>
      <x:c r="E23" s="16"/>
      <x:c r="F23" s="16"/>
    </x:row>
    <x:row r="24" ht="21" customHeight="1">
      <x:c r="A24" s="20" t="str">
        <x:v>Saldo frente ao teto (negativo = excede)</x:v>
      </x:c>
      <x:c r="B24" s="20"/>
      <x:c r="C24" s="20"/>
      <x:c r="D24" s="21" t="n">
        <x:f>D5-D23</x:f>
        <x:v>-52219.82999999999</x:v>
      </x:c>
      <x:c r="E24" s="20"/>
      <x:c r="F24" s="20"/>
    </x:row>
    <x:row r="25" ht="21" customHeight="1">
      <x:c r="A25" s="2"/>
      <x:c r="B25" s="2"/>
      <x:c r="C25" s="2"/>
      <x:c r="D25" s="7"/>
      <x:c r="E25" s="2"/>
      <x:c r="F25" s="2"/>
    </x:row>
    <x:row r="26" ht="21" customHeight="1">
      <x:c r="A26" s="2" t="str">
        <x:v>Com referência de preço web</x:v>
      </x:c>
      <x:c r="B26" s="2"/>
      <x:c r="C26" s="2"/>
      <x:c r="D26" s="7" t="n">
        <x:f>SUMIF('Itens'!$I$6:$I$104,"Referência web",'Itens'!$H$6:$H$104)</x:f>
        <x:v>22052.120000000006</x:v>
      </x:c>
      <x:c r="E26" s="2"/>
      <x:c r="F26" s="2"/>
    </x:row>
    <x:row r="27" ht="21" customHeight="1">
      <x:c r="A27" s="2" t="str">
        <x:v>Com preço estimado</x:v>
      </x:c>
      <x:c r="B27" s="2"/>
      <x:c r="C27" s="2"/>
      <x:c r="D27" s="7" t="n">
        <x:f>D21-D26</x:f>
        <x:v>120874.99999999999</x:v>
      </x:c>
      <x:c r="E27" s="2"/>
      <x:c r="F27" s="2"/>
    </x:row>
    <x:row r="28" ht="21" customHeight="1">
      <x:c r="A28" s="2"/>
      <x:c r="B28" s="2"/>
      <x:c r="C28" s="2"/>
      <x:c r="D28" s="2"/>
      <x:c r="E28" s="2"/>
      <x:c r="F28" s="2"/>
    </x:row>
    <x:row r="29" ht="21" customHeight="1">
      <x:c r="A29" s="6" t="str">
        <x:v>Preços web são referências consultadas, sem reserva de estoque ou frete calculado. Quantidades de revestimentos e serviços são provisórias; preço pesquisado não torna a quantidade medida.</x:v>
      </x:c>
      <x:c r="B29" s="6"/>
      <x:c r="C29" s="6"/>
      <x:c r="D29" s="6"/>
      <x:c r="E29" s="6"/>
      <x:c r="F29" s="6"/>
    </x:row>
    <x:row r="30" ht="21" customHeight="1">
      <x:c r="A30" s="6"/>
      <x:c r="B30" s="6"/>
      <x:c r="C30" s="6"/>
      <x:c r="D30" s="6"/>
      <x:c r="E30" s="6"/>
      <x:c r="F30" s="6"/>
    </x:row>
    <x:row r="31" ht="21" customHeight="1">
      <x:c r="A31" s="6"/>
      <x:c r="B31" s="6"/>
      <x:c r="C31" s="6"/>
      <x:c r="D31" s="6"/>
      <x:c r="E31" s="6"/>
      <x:c r="F31" s="6"/>
    </x:row>
    <x:row r="32" ht="21" customHeight="1">
      <x:c r="A32" s="14" t="str">
        <x:v>EXCLUSÕES E REGRAS DE ESCOPO</x:v>
      </x:c>
      <x:c r="B32" s="14"/>
      <x:c r="C32" s="14"/>
      <x:c r="D32" s="14"/>
      <x:c r="E32" s="14"/>
      <x:c r="F32" s="14"/>
    </x:row>
    <x:row r="33" ht="21" customHeight="1">
      <x:c r="A33" s="6" t="str">
        <x:v>Cadeira do escritório, air fryer e todos os utensílios, por solicitação expressa.</x:v>
      </x:c>
      <x:c r="B33" s="6"/>
      <x:c r="C33" s="6"/>
      <x:c r="D33" s="6"/>
      <x:c r="E33" s="6"/>
      <x:c r="F33" s="6"/>
    </x:row>
    <x:row r="34" ht="21" customHeight="1">
      <x:c r="A34" s="6"/>
      <x:c r="B34" s="6"/>
      <x:c r="C34" s="6"/>
      <x:c r="D34" s="6"/>
      <x:c r="E34" s="6"/>
      <x:c r="F34" s="6"/>
    </x:row>
    <x:row r="35" ht="21" customHeight="1">
      <x:c r="A35" s="6" t="str">
        <x:v>Bens existentes: cama de viúvo com baú, TV Samsung 43, computador, monitores/periféricos e PS5. Sem nova cama, colchão ou console.</x:v>
      </x:c>
      <x:c r="B35" s="6"/>
      <x:c r="C35" s="6"/>
      <x:c r="D35" s="6"/>
      <x:c r="E35" s="6"/>
      <x:c r="F35" s="6"/>
    </x:row>
    <x:row r="36" ht="21" customHeight="1">
      <x:c r="A36" s="6"/>
      <x:c r="B36" s="6"/>
      <x:c r="C36" s="6"/>
      <x:c r="D36" s="6"/>
      <x:c r="E36" s="6"/>
      <x:c r="F36" s="6"/>
    </x:row>
    <x:row r="37" ht="21" customHeight="1">
      <x:c r="A37" s="6" t="str">
        <x:v>Lata de 20 L de Algodão Egípcio disponível na família: sem recomprar. Verificar validade/rendimento antes da pintura.</x:v>
      </x:c>
      <x:c r="B37" s="6"/>
      <x:c r="C37" s="6"/>
      <x:c r="D37" s="6"/>
      <x:c r="E37" s="6"/>
      <x:c r="F37" s="6"/>
    </x:row>
    <x:row r="38" ht="21" customHeight="1">
      <x:c r="A38" s="6"/>
      <x:c r="B38" s="6"/>
      <x:c r="C38" s="6"/>
      <x:c r="D38" s="6"/>
      <x:c r="E38" s="6"/>
      <x:c r="F38" s="6"/>
    </x:row>
    <x:row r="39" ht="21" customHeight="1">
      <x:c r="A39" s="6" t="str">
        <x:v>Vaso sanitário, portas e janelas entregues mantidos. Nova aquisição excluída; eventual reinstalação do vaso está em I03.</x:v>
      </x:c>
      <x:c r="B39" s="6"/>
      <x:c r="C39" s="6"/>
      <x:c r="D39" s="6"/>
      <x:c r="E39" s="6"/>
      <x:c r="F39" s="6"/>
    </x:row>
    <x:row r="40" ht="21" customHeight="1">
      <x:c r="A40" s="6"/>
      <x:c r="B40" s="6"/>
      <x:c r="C40" s="6"/>
      <x:c r="D40" s="6"/>
      <x:c r="E40" s="6"/>
      <x:c r="F40" s="6"/>
    </x:row>
    <x:row r="41" ht="21" customHeight="1">
      <x:c r="A41" s="6" t="str">
        <x:v>Fora do escopo atual: ar-condicionado não aprovado, volante/pedais, soundbar, decoração solta, enxoval e outros pequenos eletros.</x:v>
      </x:c>
      <x:c r="B41" s="6"/>
      <x:c r="C41" s="6"/>
      <x:c r="D41" s="6"/>
      <x:c r="E41" s="6"/>
      <x:c r="F41" s="6"/>
    </x:row>
    <x:row r="42" ht="21" customHeight="1">
      <x:c r="A42" s="6"/>
      <x:c r="B42" s="6"/>
      <x:c r="C42" s="6"/>
      <x:c r="D42" s="6"/>
      <x:c r="E42" s="6"/>
      <x:c r="F42" s="6"/>
    </x:row>
    <x:row r="43" ht="21" customHeight="1">
      <x:c r="A43" s="6" t="str">
        <x:v>Sem duplicação: ferragens, medição, frete e montagem da marcenaria incluídos nos módulos. Espelho em P19; tanque esculpido em S02.</x:v>
      </x:c>
      <x:c r="B43" s="6"/>
      <x:c r="C43" s="6"/>
      <x:c r="D43" s="6"/>
      <x:c r="E43" s="6"/>
      <x:c r="F43" s="6"/>
    </x:row>
    <x:row r="44" ht="21" customHeight="1">
      <x:c r="A44" s="6"/>
      <x:c r="B44" s="6"/>
      <x:c r="C44" s="6"/>
      <x:c r="D44" s="6"/>
      <x:c r="E44" s="6"/>
      <x:c r="F44" s="6"/>
    </x:row>
    <x:row r="45" ht="21" customHeight="1">
      <x:c r="A45" s="6" t="str">
        <x:v>Não somar mesa sob medida à Berlin; nem ferragens Blum às FGVTN. Engates ainda dependem de validação técnica.</x:v>
      </x:c>
      <x:c r="B45" s="6"/>
      <x:c r="C45" s="6"/>
      <x:c r="D45" s="6"/>
      <x:c r="E45" s="6"/>
      <x:c r="F45" s="6"/>
    </x:row>
    <x:row r="46" ht="21" customHeight="1">
      <x:c r="A46" s="6"/>
      <x:c r="B46" s="6"/>
      <x:c r="C46" s="6"/>
      <x:c r="D46" s="6"/>
      <x:c r="E46" s="6"/>
      <x:c r="F46" s="6"/>
    </x:row>
    <x:row r="47" ht="21" customHeight="1">
      <x:c r="A47" s="6" t="str">
        <x:v>Orçamento cobre execução do apartamento; não inclui compra do imóvel, financiamento, condomínio mensal ou contas de consumo.</x:v>
      </x:c>
      <x:c r="B47" s="6"/>
      <x:c r="C47" s="6"/>
      <x:c r="D47" s="6"/>
      <x:c r="E47" s="6"/>
      <x:c r="F47" s="6"/>
    </x:row>
    <x:row r="48" ht="21" customHeight="1">
      <x:c r="A48" s="6"/>
      <x:c r="B48" s="6"/>
      <x:c r="C48" s="6"/>
      <x:c r="D48" s="6"/>
      <x:c r="E48" s="6"/>
      <x:c r="F48" s="6"/>
    </x:row>
    <x:row r="49" ht="21" customHeight="1">
      <x:c r="A49" s="6"/>
      <x:c r="B49" s="6"/>
      <x:c r="C49" s="6"/>
      <x:c r="D49" s="6"/>
      <x:c r="E49" s="6"/>
      <x:c r="F49" s="6"/>
    </x:row>
  </x:sheetData>
  <x:mergeCells>
    <x:mergeCell ref="A1:F2"/>
    <x:mergeCell ref="A3:F3"/>
    <x:mergeCell ref="A5:C5"/>
    <x:mergeCell ref="A6:C6"/>
    <x:mergeCell ref="A8:C8"/>
    <x:mergeCell ref="A9:C9"/>
    <x:mergeCell ref="A10:C10"/>
    <x:mergeCell ref="A11:C11"/>
    <x:mergeCell ref="A12:C12"/>
    <x:mergeCell ref="A13:C13"/>
    <x:mergeCell ref="A14:C14"/>
    <x:mergeCell ref="A15:C15"/>
    <x:mergeCell ref="A16:C16"/>
    <x:mergeCell ref="A17:C17"/>
    <x:mergeCell ref="A18:C18"/>
    <x:mergeCell ref="A19:C19"/>
    <x:mergeCell ref="A21:C21"/>
    <x:mergeCell ref="A22:C22"/>
    <x:mergeCell ref="A23:C23"/>
    <x:mergeCell ref="A24:C24"/>
    <x:mergeCell ref="A26:C26"/>
    <x:mergeCell ref="A27:C27"/>
    <x:mergeCell ref="A29:F30"/>
    <x:mergeCell ref="A32:F32"/>
    <x:mergeCell ref="A33:F34"/>
    <x:mergeCell ref="A35:F36"/>
    <x:mergeCell ref="A37:F38"/>
    <x:mergeCell ref="A39:F40"/>
    <x:mergeCell ref="A41:F42"/>
    <x:mergeCell ref="A43:F44"/>
    <x:mergeCell ref="A45:F46"/>
    <x:mergeCell ref="A47:F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1" hidden="0" customWidth="1"/>
    <x:col min="4" max="4" width="55" hidden="0" customWidth="1"/>
    <x:col min="5" max="5" width="9" hidden="0" customWidth="1"/>
    <x:col min="6" max="6" width="10" hidden="0" customWidth="1"/>
    <x:col min="7" max="7" width="18" hidden="0" customWidth="1"/>
    <x:col min="8" max="8" width="18" hidden="0" customWidth="1"/>
    <x:col min="9" max="9" width="20" hidden="0" customWidth="1"/>
    <x:col min="10" max="10" width="76" hidden="0" customWidth="1"/>
    <x:col min="11" max="11" width="3" hidden="0" customWidth="1"/>
    <x:col min="12" max="12" width="85" hidden="0" customWidth="1"/>
  </x:cols>
  <x:sheetData>
    <x:row r="1">
      <x:c r="A1" s="22" t="str">
        <x:v>ITENS | quantidades e preços editáveis em azul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2" t="str">
        <x:v>Marcenaria completa instalada. Substitua as estimativas por cotações com o mesmo escopo. Data da pesquisa: 22/10/2026.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28" t="str">
        <x:v>ID</x:v>
      </x:c>
      <x:c r="B5" s="28" t="str">
        <x:v>Categoria</x:v>
      </x:c>
      <x:c r="C5" s="28" t="str">
        <x:v>Ambiente</x:v>
      </x:c>
      <x:c r="D5" s="28" t="str">
        <x:v>Item / escopo</x:v>
      </x:c>
      <x:c r="E5" s="28" t="str">
        <x:v>Qtd.</x:v>
      </x:c>
      <x:c r="F5" s="28" t="str">
        <x:v>Unid.</x:v>
      </x:c>
      <x:c r="G5" s="28" t="str">
        <x:v>Preço unitário</x:v>
      </x:c>
      <x:c r="H5" s="28" t="str">
        <x:v>Total</x:v>
      </x:c>
      <x:c r="I5" s="28" t="str">
        <x:v>Base do preço</x:v>
      </x:c>
      <x:c r="J5" s="28" t="str">
        <x:v>Premissas / inclusões</x:v>
      </x:c>
      <x:c r="K5" s="29" t="str"/>
      <x:c r="L5" s="29" t="str">
        <x:v>Fonte / referência</x:v>
      </x:c>
    </x:row>
    <x:row r="6" ht="58" customHeight="1">
      <x:c r="A6" s="36" t="str">
        <x:v>P01</x:v>
      </x:c>
      <x:c r="B6" s="36" t="str">
        <x:v>Marcenaria</x:v>
      </x:c>
      <x:c r="C6" s="36" t="str">
        <x:v>Quarto</x:v>
      </x:c>
      <x:c r="D6" s="36" t="str">
        <x:v>Roupeiro</x:v>
      </x:c>
      <x:c r="E6" s="37" t="n">
        <x:v>1</x:v>
      </x:c>
      <x:c r="F6" s="38" t="str">
        <x:v>conj.</x:v>
      </x:c>
      <x:c r="G6" s="39" t="n">
        <x:v>6800</x:v>
      </x:c>
      <x:c r="H6" s="40" t="n">
        <x:f>ROUND(E6*G6,2)</x:f>
        <x:v>6800</x:v>
      </x:c>
      <x:c r="I6" s="36" t="str">
        <x:v>Estimativa</x:v>
      </x:c>
      <x:c r="J6" s="36" t="str">
        <x:v>Verba por módulo; MDF, acabamento, ferragens, fabricação, medição, transporte e montagem incluídos. Pedra e estofamento separados.</x:v>
      </x:c>
      <x:c r="K6" s="35" t="str"/>
      <x:c r="L6" s="30" t="str">
        <x:v>Projeto: 01_Projeto/Avanco_pendencias_2026-10-21/Orcamento/Mapa_orcamento_comparavel_R42.csv + consolidação R43</x:v>
      </x:c>
    </x:row>
    <x:row r="7" ht="58" customHeight="1">
      <x:c r="A7" s="41" t="str">
        <x:v>P02</x:v>
      </x:c>
      <x:c r="B7" s="41" t="str">
        <x:v>Marcenaria</x:v>
      </x:c>
      <x:c r="C7" s="41" t="str">
        <x:v>Quarto</x:v>
      </x:c>
      <x:c r="D7" s="41" t="str">
        <x:v>Canto em L</x:v>
      </x:c>
      <x:c r="E7" s="42" t="n">
        <x:v>1</x:v>
      </x:c>
      <x:c r="F7" s="43" t="str">
        <x:v>conj.</x:v>
      </x:c>
      <x:c r="G7" s="44" t="n">
        <x:v>1300</x:v>
      </x:c>
      <x:c r="H7" s="45" t="n">
        <x:f>ROUND(E7*G7,2)</x:f>
        <x:v>1300</x:v>
      </x:c>
      <x:c r="I7" s="41" t="str">
        <x:v>Estimativa</x:v>
      </x:c>
      <x:c r="J7" s="41" t="str">
        <x:v>Verba por módulo; MDF, acabamento, ferragens, fabricação, medição, transporte e montagem incluídos. Pedra e estofamento separados.</x:v>
      </x:c>
      <x:c r="K7" s="35" t="str"/>
      <x:c r="L7" s="30" t="str">
        <x:v>Projeto: 01_Projeto/Avanco_pendencias_2026-10-21/Orcamento/Mapa_orcamento_comparavel_R42.csv + consolidação R43</x:v>
      </x:c>
    </x:row>
    <x:row r="8" ht="58" customHeight="1">
      <x:c r="A8" s="36" t="str">
        <x:v>P03</x:v>
      </x:c>
      <x:c r="B8" s="36" t="str">
        <x:v>Marcenaria</x:v>
      </x:c>
      <x:c r="C8" s="36" t="str">
        <x:v>Quarto</x:v>
      </x:c>
      <x:c r="D8" s="36" t="str">
        <x:v>Maleiro com portas de correr</x:v>
      </x:c>
      <x:c r="E8" s="37" t="n">
        <x:v>1</x:v>
      </x:c>
      <x:c r="F8" s="38" t="str">
        <x:v>conj.</x:v>
      </x:c>
      <x:c r="G8" s="39" t="n">
        <x:v>1800</x:v>
      </x:c>
      <x:c r="H8" s="40" t="n">
        <x:f>ROUND(E8*G8,2)</x:f>
        <x:v>1800</x:v>
      </x:c>
      <x:c r="I8" s="36" t="str">
        <x:v>Estimativa</x:v>
      </x:c>
      <x:c r="J8" s="36" t="str">
        <x:v>Verba por módulo; MDF, acabamento, ferragens, fabricação, medição, transporte e montagem incluídos. Pedra e estofamento separados.</x:v>
      </x:c>
      <x:c r="K8" s="35" t="str"/>
      <x:c r="L8" s="30" t="str">
        <x:v>Projeto: 01_Projeto/Avanco_pendencias_2026-10-21/Orcamento/Mapa_orcamento_comparavel_R42.csv + consolidação R43</x:v>
      </x:c>
    </x:row>
    <x:row r="9" ht="58" customHeight="1">
      <x:c r="A9" s="41" t="str">
        <x:v>P04</x:v>
      </x:c>
      <x:c r="B9" s="41" t="str">
        <x:v>Marcenaria</x:v>
      </x:c>
      <x:c r="C9" s="41" t="str">
        <x:v>Quarto</x:v>
      </x:c>
      <x:c r="D9" s="41" t="str">
        <x:v>Aéreo da cabeceira</x:v>
      </x:c>
      <x:c r="E9" s="42" t="n">
        <x:v>1</x:v>
      </x:c>
      <x:c r="F9" s="43" t="str">
        <x:v>conj.</x:v>
      </x:c>
      <x:c r="G9" s="44" t="n">
        <x:v>1400</x:v>
      </x:c>
      <x:c r="H9" s="45" t="n">
        <x:f>ROUND(E9*G9,2)</x:f>
        <x:v>1400</x:v>
      </x:c>
      <x:c r="I9" s="41" t="str">
        <x:v>Estimativa</x:v>
      </x:c>
      <x:c r="J9" s="41" t="str">
        <x:v>Verba por módulo; MDF, acabamento, ferragens, fabricação, medição, transporte e montagem incluídos. Pedra e estofamento separados.</x:v>
      </x:c>
      <x:c r="K9" s="35" t="str"/>
      <x:c r="L9" s="30" t="str">
        <x:v>Projeto: 01_Projeto/Avanco_pendencias_2026-10-21/Orcamento/Mapa_orcamento_comparavel_R42.csv + consolidação R43</x:v>
      </x:c>
    </x:row>
    <x:row r="10" ht="58" customHeight="1">
      <x:c r="A10" s="36" t="str">
        <x:v>P05</x:v>
      </x:c>
      <x:c r="B10" s="36" t="str">
        <x:v>Marcenaria</x:v>
      </x:c>
      <x:c r="C10" s="36" t="str">
        <x:v>Cozinha</x:v>
      </x:c>
      <x:c r="D10" s="36" t="str">
        <x:v>Gabinete da pia</x:v>
      </x:c>
      <x:c r="E10" s="37" t="n">
        <x:v>1</x:v>
      </x:c>
      <x:c r="F10" s="38" t="str">
        <x:v>conj.</x:v>
      </x:c>
      <x:c r="G10" s="39" t="n">
        <x:v>1500</x:v>
      </x:c>
      <x:c r="H10" s="40" t="n">
        <x:f>ROUND(E10*G10,2)</x:f>
        <x:v>1500</x:v>
      </x:c>
      <x:c r="I10" s="36" t="str">
        <x:v>Estimativa</x:v>
      </x:c>
      <x:c r="J10" s="36" t="str">
        <x:v>Verba por módulo; MDF, acabamento, ferragens, fabricação, medição, transporte e montagem incluídos. Pedra e estofamento separados.</x:v>
      </x:c>
      <x:c r="K10" s="35" t="str"/>
      <x:c r="L10" s="30" t="str">
        <x:v>Projeto: 01_Projeto/Avanco_pendencias_2026-10-21/Orcamento/Mapa_orcamento_comparavel_R42.csv + consolidação R43</x:v>
      </x:c>
    </x:row>
    <x:row r="11" ht="58" customHeight="1">
      <x:c r="A11" s="41" t="str">
        <x:v>P06</x:v>
      </x:c>
      <x:c r="B11" s="41" t="str">
        <x:v>Marcenaria</x:v>
      </x:c>
      <x:c r="C11" s="41" t="str">
        <x:v>Cozinha</x:v>
      </x:c>
      <x:c r="D11" s="41" t="str">
        <x:v>Gaveteiro G1/G2/G3</x:v>
      </x:c>
      <x:c r="E11" s="42" t="n">
        <x:v>1</x:v>
      </x:c>
      <x:c r="F11" s="43" t="str">
        <x:v>conj.</x:v>
      </x:c>
      <x:c r="G11" s="44" t="n">
        <x:v>2300</x:v>
      </x:c>
      <x:c r="H11" s="45" t="n">
        <x:f>ROUND(E11*G11,2)</x:f>
        <x:v>2300</x:v>
      </x:c>
      <x:c r="I11" s="41" t="str">
        <x:v>Estimativa</x:v>
      </x:c>
      <x:c r="J11" s="41" t="str">
        <x:v>Verba por módulo; MDF, acabamento, ferragens, fabricação, medição, transporte e montagem incluídos. Pedra e estofamento separados.</x:v>
      </x:c>
      <x:c r="K11" s="35" t="str"/>
      <x:c r="L11" s="30" t="str">
        <x:v>Projeto: 01_Projeto/Avanco_pendencias_2026-10-21/Orcamento/Mapa_orcamento_comparavel_R42.csv + consolidação R43</x:v>
      </x:c>
    </x:row>
    <x:row r="12" ht="58" customHeight="1">
      <x:c r="A12" s="36" t="str">
        <x:v>P07</x:v>
      </x:c>
      <x:c r="B12" s="36" t="str">
        <x:v>Marcenaria</x:v>
      </x:c>
      <x:c r="C12" s="36" t="str">
        <x:v>Cozinha</x:v>
      </x:c>
      <x:c r="D12" s="36" t="str">
        <x:v>Estrutura de cocção e grelhas removíveis</x:v>
      </x:c>
      <x:c r="E12" s="37" t="n">
        <x:v>1</x:v>
      </x:c>
      <x:c r="F12" s="38" t="str">
        <x:v>conj.</x:v>
      </x:c>
      <x:c r="G12" s="39" t="n">
        <x:v>1800</x:v>
      </x:c>
      <x:c r="H12" s="40" t="n">
        <x:f>ROUND(E12*G12,2)</x:f>
        <x:v>1800</x:v>
      </x:c>
      <x:c r="I12" s="36" t="str">
        <x:v>Estimativa</x:v>
      </x:c>
      <x:c r="J12" s="36" t="str">
        <x:v>Verba por módulo; MDF, acabamento, ferragens, fabricação, medição, transporte e montagem incluídos. Pedra e estofamento separados.</x:v>
      </x:c>
      <x:c r="K12" s="35" t="str"/>
      <x:c r="L12" s="30" t="str">
        <x:v>Projeto: 01_Projeto/Avanco_pendencias_2026-10-21/Orcamento/Mapa_orcamento_comparavel_R42.csv + consolidação R43</x:v>
      </x:c>
    </x:row>
    <x:row r="13" ht="58" customHeight="1">
      <x:c r="A13" s="41" t="str">
        <x:v>P08</x:v>
      </x:c>
      <x:c r="B13" s="41" t="str">
        <x:v>Marcenaria</x:v>
      </x:c>
      <x:c r="C13" s="41" t="str">
        <x:v>Cozinha</x:v>
      </x:c>
      <x:c r="D13" s="41" t="str">
        <x:v>Gaveta baixa de limpeza</x:v>
      </x:c>
      <x:c r="E13" s="42" t="n">
        <x:v>1</x:v>
      </x:c>
      <x:c r="F13" s="43" t="str">
        <x:v>conj.</x:v>
      </x:c>
      <x:c r="G13" s="44" t="n">
        <x:v>800</x:v>
      </x:c>
      <x:c r="H13" s="45" t="n">
        <x:f>ROUND(E13*G13,2)</x:f>
        <x:v>800</x:v>
      </x:c>
      <x:c r="I13" s="41" t="str">
        <x:v>Estimativa</x:v>
      </x:c>
      <x:c r="J13" s="41" t="str">
        <x:v>Verba por módulo; MDF, acabamento, ferragens, fabricação, medição, transporte e montagem incluídos. Pedra e estofamento separados.</x:v>
      </x:c>
      <x:c r="K13" s="35" t="str"/>
      <x:c r="L13" s="30" t="str">
        <x:v>Projeto: 01_Projeto/Avanco_pendencias_2026-10-21/Orcamento/Mapa_orcamento_comparavel_R42.csv + consolidação R43</x:v>
      </x:c>
    </x:row>
    <x:row r="14" ht="58" customHeight="1">
      <x:c r="A14" s="36" t="str">
        <x:v>P09</x:v>
      </x:c>
      <x:c r="B14" s="36" t="str">
        <x:v>Marcenaria</x:v>
      </x:c>
      <x:c r="C14" s="36" t="str">
        <x:v>Cozinha</x:v>
      </x:c>
      <x:c r="D14" s="36" t="str">
        <x:v>Aéreo D sobre depurador</x:v>
      </x:c>
      <x:c r="E14" s="37" t="n">
        <x:v>1</x:v>
      </x:c>
      <x:c r="F14" s="38" t="str">
        <x:v>conj.</x:v>
      </x:c>
      <x:c r="G14" s="39" t="n">
        <x:v>1200</x:v>
      </x:c>
      <x:c r="H14" s="40" t="n">
        <x:f>ROUND(E14*G14,2)</x:f>
        <x:v>1200</x:v>
      </x:c>
      <x:c r="I14" s="36" t="str">
        <x:v>Estimativa</x:v>
      </x:c>
      <x:c r="J14" s="36" t="str">
        <x:v>Verba por módulo; MDF, acabamento, ferragens, fabricação, medição, transporte e montagem incluídos. Pedra e estofamento separados.</x:v>
      </x:c>
      <x:c r="K14" s="35" t="str"/>
      <x:c r="L14" s="30" t="str">
        <x:v>Projeto: 01_Projeto/Avanco_pendencias_2026-10-21/Orcamento/Mapa_orcamento_comparavel_R42.csv + consolidação R43</x:v>
      </x:c>
    </x:row>
    <x:row r="15" ht="58" customHeight="1">
      <x:c r="A15" s="41" t="str">
        <x:v>P10</x:v>
      </x:c>
      <x:c r="B15" s="41" t="str">
        <x:v>Marcenaria</x:v>
      </x:c>
      <x:c r="C15" s="41" t="str">
        <x:v>Cozinha</x:v>
      </x:c>
      <x:c r="D15" s="41" t="str">
        <x:v>Aéreo C de uso diário</x:v>
      </x:c>
      <x:c r="E15" s="42" t="n">
        <x:v>1</x:v>
      </x:c>
      <x:c r="F15" s="43" t="str">
        <x:v>conj.</x:v>
      </x:c>
      <x:c r="G15" s="44" t="n">
        <x:v>1700</x:v>
      </x:c>
      <x:c r="H15" s="45" t="n">
        <x:f>ROUND(E15*G15,2)</x:f>
        <x:v>1700</x:v>
      </x:c>
      <x:c r="I15" s="41" t="str">
        <x:v>Estimativa</x:v>
      </x:c>
      <x:c r="J15" s="41" t="str">
        <x:v>Verba por módulo; MDF, acabamento, ferragens, fabricação, medição, transporte e montagem incluídos. Pedra e estofamento separados.</x:v>
      </x:c>
      <x:c r="K15" s="35" t="str"/>
      <x:c r="L15" s="30" t="str">
        <x:v>Projeto: 01_Projeto/Avanco_pendencias_2026-10-21/Orcamento/Mapa_orcamento_comparavel_R42.csv + consolidação R43</x:v>
      </x:c>
    </x:row>
    <x:row r="16" ht="58" customHeight="1">
      <x:c r="A16" s="36" t="str">
        <x:v>P11</x:v>
      </x:c>
      <x:c r="B16" s="36" t="str">
        <x:v>Marcenaria</x:v>
      </x:c>
      <x:c r="C16" s="36" t="str">
        <x:v>Cozinha</x:v>
      </x:c>
      <x:c r="D16" s="36" t="str">
        <x:v>Aéreo B sobre micro-ondas</x:v>
      </x:c>
      <x:c r="E16" s="37" t="n">
        <x:v>1</x:v>
      </x:c>
      <x:c r="F16" s="38" t="str">
        <x:v>conj.</x:v>
      </x:c>
      <x:c r="G16" s="39" t="n">
        <x:v>1250</x:v>
      </x:c>
      <x:c r="H16" s="40" t="n">
        <x:f>ROUND(E16*G16,2)</x:f>
        <x:v>1250</x:v>
      </x:c>
      <x:c r="I16" s="36" t="str">
        <x:v>Estimativa</x:v>
      </x:c>
      <x:c r="J16" s="36" t="str">
        <x:v>Verba por módulo; MDF, acabamento, ferragens, fabricação, medição, transporte e montagem incluídos. Pedra e estofamento separados.</x:v>
      </x:c>
      <x:c r="K16" s="35" t="str"/>
      <x:c r="L16" s="30" t="str">
        <x:v>Projeto: 01_Projeto/Avanco_pendencias_2026-10-21/Orcamento/Mapa_orcamento_comparavel_R42.csv + consolidação R43</x:v>
      </x:c>
    </x:row>
    <x:row r="17" ht="58" customHeight="1">
      <x:c r="A17" s="41" t="str">
        <x:v>P12</x:v>
      </x:c>
      <x:c r="B17" s="41" t="str">
        <x:v>Marcenaria</x:v>
      </x:c>
      <x:c r="C17" s="41" t="str">
        <x:v>Cozinha</x:v>
      </x:c>
      <x:c r="D17" s="41" t="str">
        <x:v>Aéreo A sobre geladeira</x:v>
      </x:c>
      <x:c r="E17" s="42" t="n">
        <x:v>1</x:v>
      </x:c>
      <x:c r="F17" s="43" t="str">
        <x:v>conj.</x:v>
      </x:c>
      <x:c r="G17" s="44" t="n">
        <x:v>1300</x:v>
      </x:c>
      <x:c r="H17" s="45" t="n">
        <x:f>ROUND(E17*G17,2)</x:f>
        <x:v>1300</x:v>
      </x:c>
      <x:c r="I17" s="41" t="str">
        <x:v>Estimativa</x:v>
      </x:c>
      <x:c r="J17" s="41" t="str">
        <x:v>Verba por módulo; MDF, acabamento, ferragens, fabricação, medição, transporte e montagem incluídos. Pedra e estofamento separados.</x:v>
      </x:c>
      <x:c r="K17" s="35" t="str"/>
      <x:c r="L17" s="30" t="str">
        <x:v>Projeto: 01_Projeto/Avanco_pendencias_2026-10-21/Orcamento/Mapa_orcamento_comparavel_R42.csv + consolidação R43</x:v>
      </x:c>
    </x:row>
    <x:row r="18" ht="58" customHeight="1">
      <x:c r="A18" s="36" t="str">
        <x:v>P13</x:v>
      </x:c>
      <x:c r="B18" s="36" t="str">
        <x:v>Marcenaria</x:v>
      </x:c>
      <x:c r="C18" s="36" t="str">
        <x:v>Cozinha</x:v>
      </x:c>
      <x:c r="D18" s="36" t="str">
        <x:v>Apoio aberto do micro-ondas</x:v>
      </x:c>
      <x:c r="E18" s="37" t="n">
        <x:v>1</x:v>
      </x:c>
      <x:c r="F18" s="38" t="str">
        <x:v>conj.</x:v>
      </x:c>
      <x:c r="G18" s="39" t="n">
        <x:v>400</x:v>
      </x:c>
      <x:c r="H18" s="40" t="n">
        <x:f>ROUND(E18*G18,2)</x:f>
        <x:v>400</x:v>
      </x:c>
      <x:c r="I18" s="36" t="str">
        <x:v>Estimativa</x:v>
      </x:c>
      <x:c r="J18" s="36" t="str">
        <x:v>Verba por módulo; MDF, acabamento, ferragens, fabricação, medição, transporte e montagem incluídos. Pedra e estofamento separados.</x:v>
      </x:c>
      <x:c r="K18" s="35" t="str"/>
      <x:c r="L18" s="30" t="str">
        <x:v>Projeto: 01_Projeto/Avanco_pendencias_2026-10-21/Orcamento/Mapa_orcamento_comparavel_R42.csv + consolidação R43</x:v>
      </x:c>
    </x:row>
    <x:row r="19" ht="58" customHeight="1">
      <x:c r="A19" s="41" t="str">
        <x:v>P14</x:v>
      </x:c>
      <x:c r="B19" s="41" t="str">
        <x:v>Marcenaria</x:v>
      </x:c>
      <x:c r="C19" s="41" t="str">
        <x:v>Lavanderia</x:v>
      </x:c>
      <x:c r="D19" s="41" t="str">
        <x:v>Gabinete e cesto basculante removível</x:v>
      </x:c>
      <x:c r="E19" s="42" t="n">
        <x:v>1</x:v>
      </x:c>
      <x:c r="F19" s="43" t="str">
        <x:v>conj.</x:v>
      </x:c>
      <x:c r="G19" s="44" t="n">
        <x:v>2500</x:v>
      </x:c>
      <x:c r="H19" s="45" t="n">
        <x:f>ROUND(E19*G19,2)</x:f>
        <x:v>2500</x:v>
      </x:c>
      <x:c r="I19" s="41" t="str">
        <x:v>Estimativa</x:v>
      </x:c>
      <x:c r="J19" s="41" t="str">
        <x:v>Verba por módulo; MDF, acabamento, ferragens, fabricação, medição, transporte e montagem incluídos. Pedra e estofamento separados.</x:v>
      </x:c>
      <x:c r="K19" s="35" t="str"/>
      <x:c r="L19" s="30" t="str">
        <x:v>Projeto: 01_Projeto/Avanco_pendencias_2026-10-21/Orcamento/Mapa_orcamento_comparavel_R42.csv + consolidação R43</x:v>
      </x:c>
    </x:row>
    <x:row r="20" ht="58" customHeight="1">
      <x:c r="A20" s="36" t="str">
        <x:v>P15</x:v>
      </x:c>
      <x:c r="B20" s="36" t="str">
        <x:v>Marcenaria</x:v>
      </x:c>
      <x:c r="C20" s="36" t="str">
        <x:v>Lavanderia</x:v>
      </x:c>
      <x:c r="D20" s="36" t="str">
        <x:v>Aéreo e fechamento ventilado</x:v>
      </x:c>
      <x:c r="E20" s="37" t="n">
        <x:v>1</x:v>
      </x:c>
      <x:c r="F20" s="38" t="str">
        <x:v>conj.</x:v>
      </x:c>
      <x:c r="G20" s="39" t="n">
        <x:v>1400</x:v>
      </x:c>
      <x:c r="H20" s="40" t="n">
        <x:f>ROUND(E20*G20,2)</x:f>
        <x:v>1400</x:v>
      </x:c>
      <x:c r="I20" s="36" t="str">
        <x:v>Estimativa</x:v>
      </x:c>
      <x:c r="J20" s="36" t="str">
        <x:v>Verba por módulo; MDF, acabamento, ferragens, fabricação, medição, transporte e montagem incluídos. Pedra e estofamento separados.</x:v>
      </x:c>
      <x:c r="K20" s="35" t="str"/>
      <x:c r="L20" s="30" t="str">
        <x:v>Projeto: 01_Projeto/Avanco_pendencias_2026-10-21/Orcamento/Mapa_orcamento_comparavel_R42.csv + consolidação R43</x:v>
      </x:c>
    </x:row>
    <x:row r="21" ht="58" customHeight="1">
      <x:c r="A21" s="41" t="str">
        <x:v>P16</x:v>
      </x:c>
      <x:c r="B21" s="41" t="str">
        <x:v>Marcenaria</x:v>
      </x:c>
      <x:c r="C21" s="41" t="str">
        <x:v>Escritório</x:v>
      </x:c>
      <x:c r="D21" s="41" t="str">
        <x:v>Duas gavetas sob bancada</x:v>
      </x:c>
      <x:c r="E21" s="42" t="n">
        <x:v>1</x:v>
      </x:c>
      <x:c r="F21" s="43" t="str">
        <x:v>conj.</x:v>
      </x:c>
      <x:c r="G21" s="44" t="n">
        <x:v>1300</x:v>
      </x:c>
      <x:c r="H21" s="45" t="n">
        <x:f>ROUND(E21*G21,2)</x:f>
        <x:v>1300</x:v>
      </x:c>
      <x:c r="I21" s="41" t="str">
        <x:v>Estimativa</x:v>
      </x:c>
      <x:c r="J21" s="41" t="str">
        <x:v>Verba por módulo; MDF, acabamento, ferragens, fabricação, medição, transporte e montagem incluídos. Pedra e estofamento separados.</x:v>
      </x:c>
      <x:c r="K21" s="35" t="str"/>
      <x:c r="L21" s="30" t="str">
        <x:v>Projeto: 01_Projeto/Avanco_pendencias_2026-10-21/Orcamento/Mapa_orcamento_comparavel_R42.csv + consolidação R43</x:v>
      </x:c>
    </x:row>
    <x:row r="22" ht="58" customHeight="1">
      <x:c r="A22" s="36" t="str">
        <x:v>P17</x:v>
      </x:c>
      <x:c r="B22" s="36" t="str">
        <x:v>Marcenaria</x:v>
      </x:c>
      <x:c r="C22" s="36" t="str">
        <x:v>Escritório</x:v>
      </x:c>
      <x:c r="D22" s="36" t="str">
        <x:v>Aéreo principal fechado</x:v>
      </x:c>
      <x:c r="E22" s="37" t="n">
        <x:v>1</x:v>
      </x:c>
      <x:c r="F22" s="38" t="str">
        <x:v>conj.</x:v>
      </x:c>
      <x:c r="G22" s="39" t="n">
        <x:v>3100</x:v>
      </x:c>
      <x:c r="H22" s="40" t="n">
        <x:f>ROUND(E22*G22,2)</x:f>
        <x:v>3100</x:v>
      </x:c>
      <x:c r="I22" s="36" t="str">
        <x:v>Estimativa</x:v>
      </x:c>
      <x:c r="J22" s="36" t="str">
        <x:v>Verba por módulo; MDF, acabamento, ferragens, fabricação, medição, transporte e montagem incluídos. Pedra e estofamento separados.</x:v>
      </x:c>
      <x:c r="K22" s="35" t="str"/>
      <x:c r="L22" s="30" t="str">
        <x:v>Projeto: 01_Projeto/Avanco_pendencias_2026-10-21/Orcamento/Mapa_orcamento_comparavel_R42.csv + consolidação R43</x:v>
      </x:c>
    </x:row>
    <x:row r="23" ht="58" customHeight="1">
      <x:c r="A23" s="41" t="str">
        <x:v>P18</x:v>
      </x:c>
      <x:c r="B23" s="41" t="str">
        <x:v>Marcenaria</x:v>
      </x:c>
      <x:c r="C23" s="41" t="str">
        <x:v>Banheiro</x:v>
      </x:c>
      <x:c r="D23" s="41" t="str">
        <x:v>Gabinete suspenso com portas de correr R43</x:v>
      </x:c>
      <x:c r="E23" s="42" t="n">
        <x:v>1</x:v>
      </x:c>
      <x:c r="F23" s="43" t="str">
        <x:v>conj.</x:v>
      </x:c>
      <x:c r="G23" s="44" t="n">
        <x:v>1800</x:v>
      </x:c>
      <x:c r="H23" s="45" t="n">
        <x:f>ROUND(E23*G23,2)</x:f>
        <x:v>1800</x:v>
      </x:c>
      <x:c r="I23" s="41" t="str">
        <x:v>Estimativa</x:v>
      </x:c>
      <x:c r="J23" s="41" t="str">
        <x:v>Verba por módulo; MDF, acabamento, ferragens, fabricação, medição, transporte e montagem incluídos. Pedra e estofamento separados.</x:v>
      </x:c>
      <x:c r="K23" s="35" t="str"/>
      <x:c r="L23" s="30" t="str">
        <x:v>Projeto: 01_Projeto/Avanco_pendencias_2026-10-21/Orcamento/Mapa_orcamento_comparavel_R42.csv + consolidação R43</x:v>
      </x:c>
    </x:row>
    <x:row r="24" ht="58" customHeight="1">
      <x:c r="A24" s="36" t="str">
        <x:v>P19</x:v>
      </x:c>
      <x:c r="B24" s="36" t="str">
        <x:v>Marcenaria</x:v>
      </x:c>
      <x:c r="C24" s="36" t="str">
        <x:v>Banheiro</x:v>
      </x:c>
      <x:c r="D24" s="36" t="str">
        <x:v>Armário espelhado completo</x:v>
      </x:c>
      <x:c r="E24" s="37" t="n">
        <x:v>1</x:v>
      </x:c>
      <x:c r="F24" s="38" t="str">
        <x:v>conj.</x:v>
      </x:c>
      <x:c r="G24" s="39" t="n">
        <x:v>1500</x:v>
      </x:c>
      <x:c r="H24" s="40" t="n">
        <x:f>ROUND(E24*G24,2)</x:f>
        <x:v>1500</x:v>
      </x:c>
      <x:c r="I24" s="36" t="str">
        <x:v>Estimativa</x:v>
      </x:c>
      <x:c r="J24" s="36" t="str">
        <x:v>Verba por módulo; MDF, acabamento, ferragens, fabricação, medição, transporte e montagem incluídos. Pedra e estofamento separados.</x:v>
      </x:c>
      <x:c r="K24" s="35" t="str"/>
      <x:c r="L24" s="30" t="str">
        <x:v>Projeto: 01_Projeto/Avanco_pendencias_2026-10-21/Orcamento/Mapa_orcamento_comparavel_R42.csv + consolidação R43</x:v>
      </x:c>
    </x:row>
    <x:row r="25" ht="58" customHeight="1">
      <x:c r="A25" s="41" t="str">
        <x:v>P20</x:v>
      </x:c>
      <x:c r="B25" s="41" t="str">
        <x:v>Marcenaria</x:v>
      </x:c>
      <x:c r="C25" s="41" t="str">
        <x:v>Sala</x:v>
      </x:c>
      <x:c r="D25" s="41" t="str">
        <x:v>Banco-baú R43 com somente duas tampas</x:v>
      </x:c>
      <x:c r="E25" s="42" t="n">
        <x:v>1</x:v>
      </x:c>
      <x:c r="F25" s="43" t="str">
        <x:v>conj.</x:v>
      </x:c>
      <x:c r="G25" s="44" t="n">
        <x:v>3500</x:v>
      </x:c>
      <x:c r="H25" s="45" t="n">
        <x:f>ROUND(E25*G25,2)</x:f>
        <x:v>3500</x:v>
      </x:c>
      <x:c r="I25" s="41" t="str">
        <x:v>Estimativa</x:v>
      </x:c>
      <x:c r="J25" s="41" t="str">
        <x:v>Verba por módulo; MDF, acabamento, ferragens, fabricação, medição, transporte e montagem incluídos. Pedra e estofamento separados.</x:v>
      </x:c>
      <x:c r="K25" s="35" t="str"/>
      <x:c r="L25" s="30" t="str">
        <x:v>Projeto: 01_Projeto/Avanco_pendencias_2026-10-21/Orcamento/Mapa_orcamento_comparavel_R42.csv + consolidação R43</x:v>
      </x:c>
    </x:row>
    <x:row r="26" ht="58" customHeight="1">
      <x:c r="A26" s="36" t="str">
        <x:v>C01</x:v>
      </x:c>
      <x:c r="B26" s="36" t="str">
        <x:v>Marcenaria</x:v>
      </x:c>
      <x:c r="C26" s="36" t="str">
        <x:v>Quarto</x:v>
      </x:c>
      <x:c r="D26" s="36" t="str">
        <x:v>Cabeceira e estofamento, sem apoios removidos</x:v>
      </x:c>
      <x:c r="E26" s="37" t="n">
        <x:v>1</x:v>
      </x:c>
      <x:c r="F26" s="38" t="str">
        <x:v>conj.</x:v>
      </x:c>
      <x:c r="G26" s="39" t="n">
        <x:v>1500</x:v>
      </x:c>
      <x:c r="H26" s="40" t="n">
        <x:f>ROUND(E26*G26,2)</x:f>
        <x:v>1500</x:v>
      </x:c>
      <x:c r="I26" s="36" t="str">
        <x:v>Estimativa</x:v>
      </x:c>
      <x:c r="J26" s="36" t="str">
        <x:v>Verba estimada para fornecimento instalado; cotar com o escopo vigente.</x:v>
      </x:c>
      <x:c r="K26" s="35" t="str"/>
      <x:c r="L26" s="30" t="str">
        <x:v>Projeto: 01_Projeto/Avanco_pendencias_2026-10-21/Orcamento/Mapa_orcamento_comparavel_R42.csv + consolidação R43</x:v>
      </x:c>
    </x:row>
    <x:row r="27" ht="58" customHeight="1">
      <x:c r="A27" s="41" t="str">
        <x:v>C02</x:v>
      </x:c>
      <x:c r="B27" s="41" t="str">
        <x:v>Marcenaria</x:v>
      </x:c>
      <x:c r="C27" s="41" t="str">
        <x:v>Escritório</x:v>
      </x:c>
      <x:c r="D27" s="41" t="str">
        <x:v>Bancada 200 × 70 cm, apoios e passa-cabos</x:v>
      </x:c>
      <x:c r="E27" s="42" t="n">
        <x:v>1</x:v>
      </x:c>
      <x:c r="F27" s="43" t="str">
        <x:v>conj.</x:v>
      </x:c>
      <x:c r="G27" s="44" t="n">
        <x:v>1800</x:v>
      </x:c>
      <x:c r="H27" s="45" t="n">
        <x:f>ROUND(E27*G27,2)</x:f>
        <x:v>1800</x:v>
      </x:c>
      <x:c r="I27" s="41" t="str">
        <x:v>Estimativa</x:v>
      </x:c>
      <x:c r="J27" s="41" t="str">
        <x:v>Verba estimada para fornecimento instalado; cotar com o escopo vigente.</x:v>
      </x:c>
      <x:c r="K27" s="35" t="str"/>
      <x:c r="L27" s="30" t="str">
        <x:v>Projeto: 01_Projeto/Avanco_pendencias_2026-10-21/Orcamento/Mapa_orcamento_comparavel_R42.csv + consolidação R43</x:v>
      </x:c>
    </x:row>
    <x:row r="28" ht="58" customHeight="1">
      <x:c r="A28" s="36" t="str">
        <x:v>C03</x:v>
      </x:c>
      <x:c r="B28" s="36" t="str">
        <x:v>Marcenaria</x:v>
      </x:c>
      <x:c r="C28" s="36" t="str">
        <x:v>Sala</x:v>
      </x:c>
      <x:c r="D28" s="36" t="str">
        <x:v>Encosto em 3 painéis e 2 almofadas do banco</x:v>
      </x:c>
      <x:c r="E28" s="37" t="n">
        <x:v>1</x:v>
      </x:c>
      <x:c r="F28" s="38" t="str">
        <x:v>conj.</x:v>
      </x:c>
      <x:c r="G28" s="39" t="n">
        <x:v>1400</x:v>
      </x:c>
      <x:c r="H28" s="40" t="n">
        <x:f>ROUND(E28*G28,2)</x:f>
        <x:v>1400</x:v>
      </x:c>
      <x:c r="I28" s="36" t="str">
        <x:v>Estimativa</x:v>
      </x:c>
      <x:c r="J28" s="36" t="str">
        <x:v>Verba estimada para fornecimento instalado; cotar com o escopo vigente.</x:v>
      </x:c>
      <x:c r="K28" s="35" t="str"/>
      <x:c r="L28" s="30" t="str">
        <x:v>Projeto: 01_Projeto/Avanco_pendencias_2026-10-21/Orcamento/Mapa_orcamento_comparavel_R42.csv + consolidação R43</x:v>
      </x:c>
    </x:row>
    <x:row r="29" ht="58" customHeight="1">
      <x:c r="A29" s="41" t="str">
        <x:v>C04</x:v>
      </x:c>
      <x:c r="B29" s="41" t="str">
        <x:v>Marcenaria</x:v>
      </x:c>
      <x:c r="C29" s="41" t="str">
        <x:v>Sala</x:v>
      </x:c>
      <x:c r="D29" s="41" t="str">
        <x:v>Painel da TV e duas prateleiras</x:v>
      </x:c>
      <x:c r="E29" s="42" t="n">
        <x:v>1</x:v>
      </x:c>
      <x:c r="F29" s="43" t="str">
        <x:v>conj.</x:v>
      </x:c>
      <x:c r="G29" s="44" t="n">
        <x:v>1600</x:v>
      </x:c>
      <x:c r="H29" s="45" t="n">
        <x:f>ROUND(E29*G29,2)</x:f>
        <x:v>1600</x:v>
      </x:c>
      <x:c r="I29" s="41" t="str">
        <x:v>Estimativa</x:v>
      </x:c>
      <x:c r="J29" s="41" t="str">
        <x:v>Verba estimada para fornecimento instalado; cotar com o escopo vigente.</x:v>
      </x:c>
      <x:c r="K29" s="35" t="str"/>
      <x:c r="L29" s="30" t="str">
        <x:v>Projeto: 01_Projeto/Avanco_pendencias_2026-10-21/Orcamento/Mapa_orcamento_comparavel_R42.csv + consolidação R43</x:v>
      </x:c>
    </x:row>
    <x:row r="30" ht="58" customHeight="1">
      <x:c r="A30" s="36" t="str">
        <x:v>C05</x:v>
      </x:c>
      <x:c r="B30" s="36" t="str">
        <x:v>Marcenaria</x:v>
      </x:c>
      <x:c r="C30" s="36" t="str">
        <x:v>Escritório</x:v>
      </x:c>
      <x:c r="D30" s="36" t="str">
        <x:v>Prateleiras e suportes de TV/acessórios</x:v>
      </x:c>
      <x:c r="E30" s="37" t="n">
        <x:v>1</x:v>
      </x:c>
      <x:c r="F30" s="38" t="str">
        <x:v>conj.</x:v>
      </x:c>
      <x:c r="G30" s="39" t="n">
        <x:v>600</x:v>
      </x:c>
      <x:c r="H30" s="40" t="n">
        <x:f>ROUND(E30*G30,2)</x:f>
        <x:v>600</x:v>
      </x:c>
      <x:c r="I30" s="36" t="str">
        <x:v>Estimativa</x:v>
      </x:c>
      <x:c r="J30" s="36" t="str">
        <x:v>Verba estimada para fornecimento instalado; cotar com o escopo vigente.</x:v>
      </x:c>
      <x:c r="K30" s="35" t="str"/>
      <x:c r="L30" s="30" t="str">
        <x:v>Projeto: 01_Projeto/Avanco_pendencias_2026-10-21/Orcamento/Mapa_orcamento_comparavel_R42.csv + consolidação R43</x:v>
      </x:c>
    </x:row>
    <x:row r="31" ht="58" customHeight="1">
      <x:c r="A31" s="41" t="str">
        <x:v>C06</x:v>
      </x:c>
      <x:c r="B31" s="41" t="str">
        <x:v>Marcenaria</x:v>
      </x:c>
      <x:c r="C31" s="41" t="str">
        <x:v>Geral</x:v>
      </x:c>
      <x:c r="D31" s="41" t="str">
        <x:v>Arremates superiores e ajustes entre módulos</x:v>
      </x:c>
      <x:c r="E31" s="42" t="n">
        <x:v>1</x:v>
      </x:c>
      <x:c r="F31" s="43" t="str">
        <x:v>verba</x:v>
      </x:c>
      <x:c r="G31" s="44" t="n">
        <x:v>1000</x:v>
      </x:c>
      <x:c r="H31" s="45" t="n">
        <x:f>ROUND(E31*G31,2)</x:f>
        <x:v>1000</x:v>
      </x:c>
      <x:c r="I31" s="41" t="str">
        <x:v>Estimativa</x:v>
      </x:c>
      <x:c r="J31" s="41" t="str">
        <x:v>Somente peças complementares entre módulos; acabamento de cada módulo já incluído.</x:v>
      </x:c>
      <x:c r="K31" s="35" t="str"/>
      <x:c r="L31" s="30" t="str">
        <x:v>Projeto: 01_Projeto/Avanco_pendencias_2026-10-21/Orcamento/Mapa_orcamento_comparavel_R42.csv + consolidação R43</x:v>
      </x:c>
    </x:row>
    <x:row r="32" ht="58" customHeight="1">
      <x:c r="A32" s="36" t="str">
        <x:v>E01</x:v>
      </x:c>
      <x:c r="B32" s="36" t="str">
        <x:v>Eletros e TV</x:v>
      </x:c>
      <x:c r="C32" s="36" t="str">
        <x:v>Cozinha</x:v>
      </x:c>
      <x:c r="D32" s="36" t="str">
        <x:v>Geladeira Electrolux IB6S Inox Look</x:v>
      </x:c>
      <x:c r="E32" s="37" t="n">
        <x:v>1</x:v>
      </x:c>
      <x:c r="F32" s="38" t="str">
        <x:v>un.</x:v>
      </x:c>
      <x:c r="G32" s="39" t="n">
        <x:v>4149</x:v>
      </x:c>
      <x:c r="H32" s="40" t="n">
        <x:f>ROUND(E32*G32,2)</x:f>
        <x:v>4149</x:v>
      </x:c>
      <x:c r="I32" s="36" t="str">
        <x:v>Referência web</x:v>
      </x:c>
      <x:c r="J32" s="36" t="str">
        <x:v>Preço indexado; confirmar valor final, estoque e frete. Bivolt.</x:v>
      </x:c>
      <x:c r="K32" s="35" t="str"/>
      <x:c r="L32" s="30" t="str">
        <x:v>https://loja.electrolux.com.br/geladeira-electrolux-frost-free-inverter-400l-efficient-rapid-freeze-inverse-inox-look--ib6s-/p</x:v>
      </x:c>
    </x:row>
    <x:row r="33" ht="58" customHeight="1">
      <x:c r="A33" s="41" t="str">
        <x:v>E02</x:v>
      </x:c>
      <x:c r="B33" s="41" t="str">
        <x:v>Eletros e TV</x:v>
      </x:c>
      <x:c r="C33" s="41" t="str">
        <x:v>Lavanderia</x:v>
      </x:c>
      <x:c r="D33" s="41" t="str">
        <x:v>LG CV5012PC4 inox 12/7 kg 127 V</x:v>
      </x:c>
      <x:c r="E33" s="42" t="n">
        <x:v>1</x:v>
      </x:c>
      <x:c r="F33" s="43" t="str">
        <x:v>un.</x:v>
      </x:c>
      <x:c r="G33" s="44" t="n">
        <x:v>5300</x:v>
      </x:c>
      <x:c r="H33" s="45" t="n">
        <x:f>ROUND(E33*G33,2)</x:f>
        <x:v>5300</x:v>
      </x:c>
      <x:c r="I33" s="41" t="str">
        <x:v>Estimativa</x:v>
      </x:c>
      <x:c r="J33" s="41" t="str">
        <x:v>LG exibia R$5.034,05 Pix / R$5.299,00 com aviso de reposição. Verba arredondada; não é oferta disponível.</x:v>
      </x:c>
      <x:c r="K33" s="35" t="str"/>
      <x:c r="L33" s="30" t="str">
        <x:v>https://www.lg.com/br/lavanderia/lava-e-seca/cv5012pc4/</x:v>
      </x:c>
    </x:row>
    <x:row r="34" ht="58" customHeight="1">
      <x:c r="A34" s="36" t="str">
        <x:v>E03</x:v>
      </x:c>
      <x:c r="B34" s="36" t="str">
        <x:v>Eletros e TV</x:v>
      </x:c>
      <x:c r="C34" s="36" t="str">
        <x:v>Cozinha</x:v>
      </x:c>
      <x:c r="D34" s="36" t="str">
        <x:v>Fischer Infinity grill 50 L 28349-64929 127 V</x:v>
      </x:c>
      <x:c r="E34" s="37" t="n">
        <x:v>1</x:v>
      </x:c>
      <x:c r="F34" s="38" t="str">
        <x:v>un.</x:v>
      </x:c>
      <x:c r="G34" s="39" t="n">
        <x:v>1698.6</x:v>
      </x:c>
      <x:c r="H34" s="40" t="n">
        <x:f>ROUND(E34*G34,2)</x:f>
        <x:v>1698.6</x:v>
      </x:c>
      <x:c r="I34" s="36" t="str">
        <x:v>Referência web</x:v>
      </x:c>
      <x:c r="J34" s="36" t="str">
        <x:v>Pix; sem frete e instalação.</x:v>
      </x:c>
      <x:c r="K34" s="35" t="str"/>
      <x:c r="L34" s="30" t="str">
        <x:v>https://www.friopecas.com.br/forno-eletrico-de-embutir-fischer-infinity-50-litros-preto-127-volts/p</x:v>
      </x:c>
    </x:row>
    <x:row r="35" ht="58" customHeight="1">
      <x:c r="A35" s="41" t="str">
        <x:v>E04</x:v>
      </x:c>
      <x:c r="B35" s="41" t="str">
        <x:v>Eletros e TV</x:v>
      </x:c>
      <x:c r="C35" s="41" t="str">
        <x:v>Cozinha</x:v>
      </x:c>
      <x:c r="D35" s="41" t="str">
        <x:v>Cooktop Electrolux KE4GC</x:v>
      </x:c>
      <x:c r="E35" s="42" t="n">
        <x:v>1</x:v>
      </x:c>
      <x:c r="F35" s="43" t="str">
        <x:v>un.</x:v>
      </x:c>
      <x:c r="G35" s="44" t="n">
        <x:v>764.1</x:v>
      </x:c>
      <x:c r="H35" s="45" t="n">
        <x:f>ROUND(E35*G35,2)</x:f>
        <x:v>764.1</x:v>
      </x:c>
      <x:c r="I35" s="41" t="str">
        <x:v>Referência web</x:v>
      </x:c>
      <x:c r="J35" s="41" t="str">
        <x:v>Vendido por Electrolux no Magalu; conferir GN e condições.</x:v>
      </x:c>
      <x:c r="K35" s="35" t="str"/>
      <x:c r="L35" s="30" t="str">
        <x:v>https://www.magazineluiza.com.br/cooktop-4-bocas-a-gas-electrolux-mesa-vidro-experience-tripla-chama-e-grade-de-ferro-ke4gc/p/fhjhbfb0k4/ed/cook/?seller_id=electrolux</x:v>
      </x:c>
    </x:row>
    <x:row r="36" ht="58" customHeight="1">
      <x:c r="A36" s="36" t="str">
        <x:v>E05</x:v>
      </x:c>
      <x:c r="B36" s="36" t="str">
        <x:v>Eletros e TV</x:v>
      </x:c>
      <x:c r="C36" s="36" t="str">
        <x:v>Lavanderia</x:v>
      </x:c>
      <x:c r="D36" s="36" t="str">
        <x:v>Rinnai E21 REU-E211FEH GN sem Wi-Fi</x:v>
      </x:c>
      <x:c r="E36" s="37" t="n">
        <x:v>1</x:v>
      </x:c>
      <x:c r="F36" s="38" t="str">
        <x:v>un.</x:v>
      </x:c>
      <x:c r="G36" s="39" t="n">
        <x:v>2800</x:v>
      </x:c>
      <x:c r="H36" s="40" t="n">
        <x:f>ROUND(E36*G36,2)</x:f>
        <x:v>2800</x:v>
      </x:c>
      <x:c r="I36" s="36" t="str">
        <x:v>Estimativa</x:v>
      </x:c>
      <x:c r="J36" s="36" t="str">
        <x:v>Referência Leroy R$2.575,08 em 10/09; verba atual arredondada, instalação separada.</x:v>
      </x:c>
      <x:c r="K36" s="35" t="str"/>
      <x:c r="L36" s="30" t="str">
        <x:v>https://www.leroymerlin.com.br/aquecedor-a-gas-rinnai-21-gn-branco-reue211fehbn3_90694905</x:v>
      </x:c>
    </x:row>
    <x:row r="37" ht="58" customHeight="1">
      <x:c r="A37" s="41" t="str">
        <x:v>E06</x:v>
      </x:c>
      <x:c r="B37" s="41" t="str">
        <x:v>Eletros e TV</x:v>
      </x:c>
      <x:c r="C37" s="41" t="str">
        <x:v>Cozinha</x:v>
      </x:c>
      <x:c r="D37" s="41" t="str">
        <x:v>Micro-ondas Electrolux ME23P 127 V</x:v>
      </x:c>
      <x:c r="E37" s="42" t="n">
        <x:v>1</x:v>
      </x:c>
      <x:c r="F37" s="43" t="str">
        <x:v>un.</x:v>
      </x:c>
      <x:c r="G37" s="44" t="n">
        <x:v>529</x:v>
      </x:c>
      <x:c r="H37" s="45" t="n">
        <x:f>ROUND(E37*G37,2)</x:f>
        <x:v>529</x:v>
      </x:c>
      <x:c r="I37" s="41" t="str">
        <x:v>Referência web</x:v>
      </x:c>
      <x:c r="J37" s="41" t="str">
        <x:v>Conferir seleção 127 V e disponibilidade.</x:v>
      </x:c>
      <x:c r="K37" s="35" t="str"/>
      <x:c r="L37" s="30" t="str">
        <x:v>https://loja.electrolux.com.br/micro-ondas-electrolux-preto-23l-efficient-me23p/p?idsku=310119207</x:v>
      </x:c>
    </x:row>
    <x:row r="38" ht="58" customHeight="1">
      <x:c r="A38" s="36" t="str">
        <x:v>E07</x:v>
      </x:c>
      <x:c r="B38" s="36" t="str">
        <x:v>Eletros e TV</x:v>
      </x:c>
      <x:c r="C38" s="36" t="str">
        <x:v>Cozinha</x:v>
      </x:c>
      <x:c r="D38" s="36" t="str">
        <x:v>Depurador Suggar DE61IX inox 60 cm 127 V</x:v>
      </x:c>
      <x:c r="E38" s="37" t="n">
        <x:v>1</x:v>
      </x:c>
      <x:c r="F38" s="38" t="str">
        <x:v>un.</x:v>
      </x:c>
      <x:c r="G38" s="39" t="n">
        <x:v>710</x:v>
      </x:c>
      <x:c r="H38" s="40" t="n">
        <x:f>ROUND(E38*G38,2)</x:f>
        <x:v>710</x:v>
      </x:c>
      <x:c r="I38" s="36" t="str">
        <x:v>Estimativa</x:v>
      </x:c>
      <x:c r="J38" s="36" t="str">
        <x:v>Busca apresentou R$645 a R$747; adotada verba sem depender de oferta específica.</x:v>
      </x:c>
      <x:c r="K38" s="35" t="str"/>
      <x:c r="L38" s="30" t="str">
        <x:v>https://www.magazineluiza.com.br/busca/depurador%2Bde%2Bar%2Bsuggar%2Bde61ix/</x:v>
      </x:c>
    </x:row>
    <x:row r="39" ht="58" customHeight="1">
      <x:c r="A39" s="41" t="str">
        <x:v>E08</x:v>
      </x:c>
      <x:c r="B39" s="41" t="str">
        <x:v>Eletros e TV</x:v>
      </x:c>
      <x:c r="C39" s="41" t="str">
        <x:v>Cozinha</x:v>
      </x:c>
      <x:c r="D39" s="41" t="str">
        <x:v>Purificador Electrolux PE11X</x:v>
      </x:c>
      <x:c r="E39" s="42" t="n">
        <x:v>1</x:v>
      </x:c>
      <x:c r="F39" s="43" t="str">
        <x:v>un.</x:v>
      </x:c>
      <x:c r="G39" s="44" t="n">
        <x:v>549.9</x:v>
      </x:c>
      <x:c r="H39" s="45" t="n">
        <x:f>ROUND(E39*G39,2)</x:f>
        <x:v>549.9</x:v>
      </x:c>
      <x:c r="I39" s="41" t="str">
        <x:v>Referência web</x:v>
      </x:c>
      <x:c r="J39" s="41" t="str">
        <x:v>Bivolt; filtro inicial incluído.</x:v>
      </x:c>
      <x:c r="K39" s="35" t="str"/>
      <x:c r="L39" s="30" t="str">
        <x:v>https://loja.electrolux.com.br/purificador-agua-prata-com-painel-touch-e-aviso-troca-filtro-pe11x/p</x:v>
      </x:c>
    </x:row>
    <x:row r="40" ht="58" customHeight="1">
      <x:c r="A40" s="36" t="str">
        <x:v>E10</x:v>
      </x:c>
      <x:c r="B40" s="36" t="str">
        <x:v>Eletros e TV</x:v>
      </x:c>
      <x:c r="C40" s="36" t="str">
        <x:v>Sala</x:v>
      </x:c>
      <x:c r="D40" s="36" t="str">
        <x:v>TV 50 polegadas — Philips/TCL a definir</x:v>
      </x:c>
      <x:c r="E40" s="37" t="n">
        <x:v>1</x:v>
      </x:c>
      <x:c r="F40" s="38" t="str">
        <x:v>un.</x:v>
      </x:c>
      <x:c r="G40" s="39" t="n">
        <x:v>2500</x:v>
      </x:c>
      <x:c r="H40" s="40" t="n">
        <x:f>ROUND(E40*G40,2)</x:f>
        <x:v>2500</x:v>
      </x:c>
      <x:c r="I40" s="36" t="str">
        <x:v>Estimativa</x:v>
      </x:c>
      <x:c r="J40" s="36" t="str">
        <x:v>Uma TV nova. Samsung 43 existente vai ao escritório. Modelo final não fechado.</x:v>
      </x:c>
      <x:c r="K40" s="35" t="str"/>
      <x:c r="L40" s="30" t="str">
        <x:v>Projeto: 01_Projeto/Equipamentos/README.md</x:v>
      </x:c>
    </x:row>
    <x:row r="41" ht="58" customHeight="1">
      <x:c r="A41" s="41" t="str">
        <x:v>M01</x:v>
      </x:c>
      <x:c r="B41" s="41" t="str">
        <x:v>Móveis e tecidos</x:v>
      </x:c>
      <x:c r="C41" s="41" t="str">
        <x:v>Sala</x:v>
      </x:c>
      <x:c r="D41" s="41" t="str">
        <x:v>Mesa Berlin 110/170 × 80 cm</x:v>
      </x:c>
      <x:c r="E41" s="42" t="n">
        <x:v>1</x:v>
      </x:c>
      <x:c r="F41" s="43" t="str">
        <x:v>un.</x:v>
      </x:c>
      <x:c r="G41" s="44" t="n">
        <x:v>1700</x:v>
      </x:c>
      <x:c r="H41" s="45" t="n">
        <x:f>ROUND(E41*G41,2)</x:f>
        <x:v>1700</x:v>
      </x:c>
      <x:c r="I41" s="41" t="str">
        <x:v>Estimativa</x:v>
      </x:c>
      <x:c r="J41" s="41" t="str">
        <x:v>Referência histórica R$1.520,55 (21/10); provisão R$1.700. Sem somar mesa sob medida.</x:v>
      </x:c>
      <x:c r="K41" s="35" t="str"/>
      <x:c r="L41" s="30" t="str">
        <x:v>Projeto: M01 no Mapa_orcamento_comparavel_R42.csv</x:v>
      </x:c>
    </x:row>
    <x:row r="42" ht="58" customHeight="1">
      <x:c r="A42" s="36" t="str">
        <x:v>M02</x:v>
      </x:c>
      <x:c r="B42" s="36" t="str">
        <x:v>Móveis e tecidos</x:v>
      </x:c>
      <x:c r="C42" s="36" t="str">
        <x:v>Sala</x:v>
      </x:c>
      <x:c r="D42" s="36" t="str">
        <x:v>Cadeira Lina estofada clara</x:v>
      </x:c>
      <x:c r="E42" s="37" t="n">
        <x:v>3</x:v>
      </x:c>
      <x:c r="F42" s="38" t="str">
        <x:v>un.</x:v>
      </x:c>
      <x:c r="G42" s="39" t="n">
        <x:v>650</x:v>
      </x:c>
      <x:c r="H42" s="40" t="n">
        <x:f>ROUND(E42*G42,2)</x:f>
        <x:v>1950</x:v>
      </x:c>
      <x:c r="I42" s="36" t="str">
        <x:v>Estimativa</x:v>
      </x:c>
      <x:c r="J42" s="36" t="str">
        <x:v>Fornecedor informa preço sob consulta. R$650/un. é estimativa, não cotação.</x:v>
      </x:c>
      <x:c r="K42" s="35" t="str"/>
      <x:c r="L42" s="30" t="str">
        <x:v>https://versatilemoveis.com.br/produto.php?id=783</x:v>
      </x:c>
    </x:row>
    <x:row r="43" ht="58" customHeight="1">
      <x:c r="A43" s="41" t="str">
        <x:v>M03</x:v>
      </x:c>
      <x:c r="B43" s="41" t="str">
        <x:v>Móveis e tecidos</x:v>
      </x:c>
      <x:c r="C43" s="41" t="str">
        <x:v>Sala</x:v>
      </x:c>
      <x:c r="D43" s="41" t="str">
        <x:v>Ajuste de acabamentos da mesa/cadeiras</x:v>
      </x:c>
      <x:c r="E43" s="42" t="n">
        <x:v>1</x:v>
      </x:c>
      <x:c r="F43" s="43" t="str">
        <x:v>verba</x:v>
      </x:c>
      <x:c r="G43" s="44" t="n">
        <x:v>800</x:v>
      </x:c>
      <x:c r="H43" s="45" t="n">
        <x:f>ROUND(E43*G43,2)</x:f>
        <x:v>800</x:v>
      </x:c>
      <x:c r="I43" s="41" t="str">
        <x:v>Estimativa</x:v>
      </x:c>
      <x:c r="J43" s="41" t="str">
        <x:v>Provisão condicional para paleta Arenza/preto/tecido claro. Retirar se configuração de fábrica já atender; não autoriza modificar produto.</x:v>
      </x:c>
      <x:c r="K43" s="35" t="str"/>
      <x:c r="L43" s="30" t="str">
        <x:v>Projeto: 01_Projeto/Avanco_pendencias_2026-10-21/Orcamento/Mapa_orcamento_comparavel_R42.csv + consolidação R43</x:v>
      </x:c>
    </x:row>
    <x:row r="44" ht="58" customHeight="1">
      <x:c r="A44" s="36" t="str">
        <x:v>M04</x:v>
      </x:c>
      <x:c r="B44" s="36" t="str">
        <x:v>Móveis e tecidos</x:v>
      </x:c>
      <x:c r="C44" s="36" t="str">
        <x:v>Sala</x:v>
      </x:c>
      <x:c r="D44" s="36" t="str">
        <x:v>Sofá Bonnie SoftGel baú 1,80 m bouclé bege</x:v>
      </x:c>
      <x:c r="E44" s="37" t="n">
        <x:v>1</x:v>
      </x:c>
      <x:c r="F44" s="38" t="str">
        <x:v>un.</x:v>
      </x:c>
      <x:c r="G44" s="39" t="n">
        <x:v>2899</x:v>
      </x:c>
      <x:c r="H44" s="40" t="n">
        <x:f>ROUND(E44*G44,2)</x:f>
        <x:v>2899</x:v>
      </x:c>
      <x:c r="I44" s="36" t="str">
        <x:v>Referência web</x:v>
      </x:c>
      <x:c r="J44" s="36" t="str">
        <x:v>Página aberta: R$2.899 no Pix; R$3.294,32 parcelado. Frete separado.</x:v>
      </x:c>
      <x:c r="K44" s="35" t="str"/>
      <x:c r="L44" s="30" t="str">
        <x:v>https://www.magazineluiza.com.br/sofa-bau-sem-caixa-retratil-180m-softgel-bonnie-boucle-bege-claro-cama-inbox/p/jjakc0cdd3/mo/bica/</x:v>
      </x:c>
    </x:row>
    <x:row r="45" ht="58" customHeight="1">
      <x:c r="A45" s="41" t="str">
        <x:v>M05</x:v>
      </x:c>
      <x:c r="B45" s="41" t="str">
        <x:v>Móveis e tecidos</x:v>
      </x:c>
      <x:c r="C45" s="41" t="str">
        <x:v>Escritório</x:v>
      </x:c>
      <x:c r="D45" s="41" t="str">
        <x:v>Sofá-cama Daiane Matrix 1,40 m cinza</x:v>
      </x:c>
      <x:c r="E45" s="42" t="n">
        <x:v>1</x:v>
      </x:c>
      <x:c r="F45" s="43" t="str">
        <x:v>un.</x:v>
      </x:c>
      <x:c r="G45" s="44" t="n">
        <x:v>939.93</x:v>
      </x:c>
      <x:c r="H45" s="45" t="n">
        <x:f>ROUND(E45*G45,2)</x:f>
        <x:v>939.93</x:v>
      </x:c>
      <x:c r="I45" s="41" t="str">
        <x:v>Referência web</x:v>
      </x:c>
      <x:c r="J45" s="41" t="str">
        <x:v>Confirmar tecido/cor, estoque e frete ao comprar.</x:v>
      </x:c>
      <x:c r="K45" s="35" t="str"/>
      <x:c r="L45" s="30" t="str">
        <x:v>https://www.magazineluiza.com.br/sofa-cama-daiane-com-bau-2-lugares-140cm-cor-cinza-matrix/p/jd4dd9fc2k/mo/bica/</x:v>
      </x:c>
    </x:row>
    <x:row r="46" ht="58" customHeight="1">
      <x:c r="A46" s="36" t="str">
        <x:v>M06</x:v>
      </x:c>
      <x:c r="B46" s="36" t="str">
        <x:v>Móveis e tecidos</x:v>
      </x:c>
      <x:c r="C46" s="36" t="str">
        <x:v>Sala</x:v>
      </x:c>
      <x:c r="D46" s="36" t="str">
        <x:v>Tapete bege/off-white 1,40 × 2 m</x:v>
      </x:c>
      <x:c r="E46" s="37" t="n">
        <x:v>1</x:v>
      </x:c>
      <x:c r="F46" s="38" t="str">
        <x:v>un.</x:v>
      </x:c>
      <x:c r="G46" s="39" t="n">
        <x:v>300</x:v>
      </x:c>
      <x:c r="H46" s="40" t="n">
        <x:f>ROUND(E46*G46,2)</x:f>
        <x:v>300</x:v>
      </x:c>
      <x:c r="I46" s="36" t="str">
        <x:v>Estimativa</x:v>
      </x:c>
      <x:c r="J46" s="36" t="str">
        <x:v>Referência anterior R$269; verba arredondada, sem utensílios decorativos.</x:v>
      </x:c>
      <x:c r="K46" s="35" t="str"/>
      <x:c r="L46" s="30" t="str">
        <x:v>Projeto: 01_Projeto/Avanco_pendencias_2026-10-21/Orcamento/Mapa_orcamento_comparavel_R42.csv + consolidação R43</x:v>
      </x:c>
    </x:row>
    <x:row r="47" ht="58" customHeight="1">
      <x:c r="A47" s="41" t="str">
        <x:v>M07</x:v>
      </x:c>
      <x:c r="B47" s="41" t="str">
        <x:v>Móveis e tecidos</x:v>
      </x:c>
      <x:c r="C47" s="41" t="str">
        <x:v>Sala</x:v>
      </x:c>
      <x:c r="D47" s="41" t="str">
        <x:v>Cortina parede inteira, tecido + blackout + trilho</x:v>
      </x:c>
      <x:c r="E47" s="42" t="n">
        <x:v>1</x:v>
      </x:c>
      <x:c r="F47" s="43" t="str">
        <x:v>conj.</x:v>
      </x:c>
      <x:c r="G47" s="44" t="n">
        <x:v>1600</x:v>
      </x:c>
      <x:c r="H47" s="45" t="n">
        <x:f>ROUND(E47*G47,2)</x:f>
        <x:v>1600</x:v>
      </x:c>
      <x:c r="I47" s="41" t="str">
        <x:v>Estimativa</x:v>
      </x:c>
      <x:c r="J47" s="41" t="str">
        <x:v>Sob medida, com instalação.</x:v>
      </x:c>
      <x:c r="K47" s="35" t="str"/>
      <x:c r="L47" s="30" t="str">
        <x:v>Projeto: 01_Projeto/Avanco_pendencias_2026-10-21/Orcamento/Mapa_orcamento_comparavel_R42.csv + consolidação R43</x:v>
      </x:c>
    </x:row>
    <x:row r="48" ht="58" customHeight="1">
      <x:c r="A48" s="36" t="str">
        <x:v>M08</x:v>
      </x:c>
      <x:c r="B48" s="36" t="str">
        <x:v>Móveis e tecidos</x:v>
      </x:c>
      <x:c r="C48" s="36" t="str">
        <x:v>Escritório</x:v>
      </x:c>
      <x:c r="D48" s="36" t="str">
        <x:v>Cortina clara e trilho</x:v>
      </x:c>
      <x:c r="E48" s="37" t="n">
        <x:v>1</x:v>
      </x:c>
      <x:c r="F48" s="38" t="str">
        <x:v>conj.</x:v>
      </x:c>
      <x:c r="G48" s="39" t="n">
        <x:v>550</x:v>
      </x:c>
      <x:c r="H48" s="40" t="n">
        <x:f>ROUND(E48*G48,2)</x:f>
        <x:v>550</x:v>
      </x:c>
      <x:c r="I48" s="36" t="str">
        <x:v>Estimativa</x:v>
      </x:c>
      <x:c r="J48" s="36" t="str">
        <x:v>Sem blackout adicional; janela já possui escurecimento. Instalação incluída.</x:v>
      </x:c>
      <x:c r="K48" s="35" t="str"/>
      <x:c r="L48" s="30" t="str">
        <x:v>Projeto: 01_Projeto/Avanco_pendencias_2026-10-21/Orcamento/Mapa_orcamento_comparavel_R42.csv + consolidação R43</x:v>
      </x:c>
    </x:row>
    <x:row r="49" ht="58" customHeight="1">
      <x:c r="A49" s="41" t="str">
        <x:v>M09</x:v>
      </x:c>
      <x:c r="B49" s="41" t="str">
        <x:v>Móveis e tecidos</x:v>
      </x:c>
      <x:c r="C49" s="41" t="str">
        <x:v>Quarto</x:v>
      </x:c>
      <x:c r="D49" s="41" t="str">
        <x:v>Cortina e trilho</x:v>
      </x:c>
      <x:c r="E49" s="42" t="n">
        <x:v>1</x:v>
      </x:c>
      <x:c r="F49" s="43" t="str">
        <x:v>conj.</x:v>
      </x:c>
      <x:c r="G49" s="44" t="n">
        <x:v>650</x:v>
      </x:c>
      <x:c r="H49" s="45" t="n">
        <x:f>ROUND(E49*G49,2)</x:f>
        <x:v>650</x:v>
      </x:c>
      <x:c r="I49" s="41" t="str">
        <x:v>Estimativa</x:v>
      </x:c>
      <x:c r="J49" s="41" t="str">
        <x:v>Provisão de acabamento de janela; dimensões e tecido a confirmar, instalação incluída.</x:v>
      </x:c>
      <x:c r="K49" s="35" t="str"/>
      <x:c r="L49" s="30" t="str">
        <x:v>Projeto: 01_Projeto/Avanco_pendencias_2026-10-21/Orcamento/Mapa_orcamento_comparavel_R42.csv + consolidação R43</x:v>
      </x:c>
    </x:row>
    <x:row r="50" ht="58" customHeight="1">
      <x:c r="A50" s="36" t="str">
        <x:v>R01</x:v>
      </x:c>
      <x:c r="B50" s="36" t="str">
        <x:v>Pisos e revestimentos</x:v>
      </x:c>
      <x:c r="C50" s="36" t="str">
        <x:v>Geral</x:v>
      </x:c>
      <x:c r="D50" s="36" t="str">
        <x:v>Vinílico Tarkett Ambienta Design Olmo — caixa 3,58 m²</x:v>
      </x:c>
      <x:c r="E50" s="37" t="n">
        <x:v>11</x:v>
      </x:c>
      <x:c r="F50" s="38" t="str">
        <x:v>cx.</x:v>
      </x:c>
      <x:c r="G50" s="39" t="n">
        <x:v>790.82</x:v>
      </x:c>
      <x:c r="H50" s="40" t="n">
        <x:f>ROUND(E50*G50,2)</x:f>
        <x:v>8699.02</x:v>
      </x:c>
      <x:c r="I50" s="36" t="str">
        <x:v>Referência web</x:v>
      </x:c>
      <x:c r="J50" s="36" t="str">
        <x:v>Quantidade estimada: 34 m² líquidos × 1,10 = 37,4 m²; 11 caixas = 39,38 m². Medir antes de comprar. R$220,90/m².</x:v>
      </x:c>
      <x:c r="K50" s="35" t="str"/>
      <x:c r="L50" s="30" t="str">
        <x:v>https://www.leroymerlin.com.br/piso-vinilico-cola-ambienta-design-olmo-madeira-branco-m2-tarkett_92147440</x:v>
      </x:c>
    </x:row>
    <x:row r="51" ht="58" customHeight="1">
      <x:c r="A51" s="41" t="str">
        <x:v>R02</x:v>
      </x:c>
      <x:c r="B51" s="41" t="str">
        <x:v>Pisos e revestimentos</x:v>
      </x:c>
      <x:c r="C51" s="41" t="str">
        <x:v>Geral</x:v>
      </x:c>
      <x:c r="D51" s="41" t="str">
        <x:v>Preparação do contrapiso para LVT</x:v>
      </x:c>
      <x:c r="E51" s="42" t="n">
        <x:v>34</x:v>
      </x:c>
      <x:c r="F51" s="43" t="str">
        <x:v>m²</x:v>
      </x:c>
      <x:c r="G51" s="44" t="n">
        <x:v>45</x:v>
      </x:c>
      <x:c r="H51" s="45" t="n">
        <x:f>ROUND(E51*G51,2)</x:f>
        <x:v>1530</x:v>
      </x:c>
      <x:c r="I51" s="41" t="str">
        <x:v>Estimativa</x:v>
      </x:c>
      <x:c r="J51" s="41" t="str">
        <x:v>Área estimada. Nivelamento e materiais; eventual sistema acústico adicional separado.</x:v>
      </x:c>
      <x:c r="K51" s="35" t="str"/>
      <x:c r="L51" s="30" t="str">
        <x:v>Projeto: 01_Projeto/Avanco_pendencias_2026-10-21/Orcamento/Mapa_orcamento_comparavel_R42.csv + consolidação R43</x:v>
      </x:c>
    </x:row>
    <x:row r="52" ht="58" customHeight="1">
      <x:c r="A52" s="36" t="str">
        <x:v>R03</x:v>
      </x:c>
      <x:c r="B52" s="36" t="str">
        <x:v>Pisos e revestimentos</x:v>
      </x:c>
      <x:c r="C52" s="36" t="str">
        <x:v>Geral</x:v>
      </x:c>
      <x:c r="D52" s="36" t="str">
        <x:v>Adesivo e instalação do vinílico</x:v>
      </x:c>
      <x:c r="E52" s="37" t="n">
        <x:v>34</x:v>
      </x:c>
      <x:c r="F52" s="38" t="str">
        <x:v>m²</x:v>
      </x:c>
      <x:c r="G52" s="39" t="n">
        <x:v>45</x:v>
      </x:c>
      <x:c r="H52" s="40" t="n">
        <x:f>ROUND(E52*G52,2)</x:f>
        <x:v>1530</x:v>
      </x:c>
      <x:c r="I52" s="36" t="str">
        <x:v>Estimativa</x:v>
      </x:c>
      <x:c r="J52" s="36" t="str">
        <x:v>Inclui adesivo e mão de obra; material vinílico em R01.</x:v>
      </x:c>
      <x:c r="K52" s="35" t="str"/>
      <x:c r="L52" s="30" t="str">
        <x:v>Projeto: 01_Projeto/Avanco_pendencias_2026-10-21/Orcamento/Mapa_orcamento_comparavel_R42.csv + consolidação R43</x:v>
      </x:c>
    </x:row>
    <x:row r="53" ht="58" customHeight="1">
      <x:c r="A53" s="41" t="str">
        <x:v>R04</x:v>
      </x:c>
      <x:c r="B53" s="41" t="str">
        <x:v>Pisos e revestimentos</x:v>
      </x:c>
      <x:c r="C53" s="41" t="str">
        <x:v>Geral</x:v>
      </x:c>
      <x:c r="D53" s="41" t="str">
        <x:v>Rodapés e transições instalados</x:v>
      </x:c>
      <x:c r="E53" s="42" t="n">
        <x:v>35</x:v>
      </x:c>
      <x:c r="F53" s="43" t="str">
        <x:v>m</x:v>
      </x:c>
      <x:c r="G53" s="44" t="n">
        <x:v>45</x:v>
      </x:c>
      <x:c r="H53" s="45" t="n">
        <x:f>ROUND(E53*G53,2)</x:f>
        <x:v>1575</x:v>
      </x:c>
      <x:c r="I53" s="41" t="str">
        <x:v>Estimativa</x:v>
      </x:c>
      <x:c r="J53" s="41" t="str">
        <x:v>Metragem provisória; não inclui rodapé de marcenaria já dentro dos módulos.</x:v>
      </x:c>
      <x:c r="K53" s="35" t="str"/>
      <x:c r="L53" s="30" t="str">
        <x:v>Projeto: 01_Projeto/Avanco_pendencias_2026-10-21/Orcamento/Mapa_orcamento_comparavel_R42.csv + consolidação R43</x:v>
      </x:c>
    </x:row>
    <x:row r="54" ht="58" customHeight="1">
      <x:c r="A54" s="36" t="str">
        <x:v>R05</x:v>
      </x:c>
      <x:c r="B54" s="36" t="str">
        <x:v>Pisos e revestimentos</x:v>
      </x:c>
      <x:c r="C54" s="36" t="str">
        <x:v>Geral</x:v>
      </x:c>
      <x:c r="D54" s="36" t="str">
        <x:v>Adequação acústica do sistema de piso</x:v>
      </x:c>
      <x:c r="E54" s="37" t="n">
        <x:v>1</x:v>
      </x:c>
      <x:c r="F54" s="38" t="str">
        <x:v>verba</x:v>
      </x:c>
      <x:c r="G54" s="39" t="n">
        <x:v>1500</x:v>
      </x:c>
      <x:c r="H54" s="40" t="n">
        <x:f>ROUND(E54*G54,2)</x:f>
        <x:v>1500</x:v>
      </x:c>
      <x:c r="I54" s="36" t="str">
        <x:v>Estimativa</x:v>
      </x:c>
      <x:c r="J54" s="36" t="str">
        <x:v>Provisão condicional. Sistema deve ser validado; não pressupõe manta solta sob LVT colado.</x:v>
      </x:c>
      <x:c r="K54" s="35" t="str"/>
      <x:c r="L54" s="30" t="str">
        <x:v>Projeto: 01_Projeto/Avanco_pendencias_2026-10-21/Orcamento/Mapa_orcamento_comparavel_R42.csv + consolidação R43</x:v>
      </x:c>
    </x:row>
    <x:row r="55" ht="58" customHeight="1">
      <x:c r="A55" s="41" t="str">
        <x:v>R06</x:v>
      </x:c>
      <x:c r="B55" s="41" t="str">
        <x:v>Pisos e revestimentos</x:v>
      </x:c>
      <x:c r="C55" s="41" t="str">
        <x:v>Banheiro</x:v>
      </x:c>
      <x:c r="D55" s="41" t="str">
        <x:v>Travertino Reale Greige Satin — material</x:v>
      </x:c>
      <x:c r="E55" s="42" t="n">
        <x:v>2.4</x:v>
      </x:c>
      <x:c r="F55" s="43" t="str">
        <x:v>m²</x:v>
      </x:c>
      <x:c r="G55" s="44" t="n">
        <x:v>136.76</x:v>
      </x:c>
      <x:c r="H55" s="45" t="n">
        <x:f>ROUND(E55*G55,2)</x:f>
        <x:v>328.22</x:v>
      </x:c>
      <x:c r="I55" s="41" t="str">
        <x:v>Referência web</x:v>
      </x:c>
      <x:c r="J55" s="41" t="str">
        <x:v>Uma caixa estimada para área fora do box; preço por m². Confirmar rendimento do lote.</x:v>
      </x:c>
      <x:c r="K55" s="35" t="str"/>
      <x:c r="L55" s="30" t="str">
        <x:v>https://www.elevato.com.br/p/3463-porcelanato-bege-acetinado-90x90-biancogres-travertino-reale-ret-a</x:v>
      </x:c>
    </x:row>
    <x:row r="56" ht="58" customHeight="1">
      <x:c r="A56" s="36" t="str">
        <x:v>R07</x:v>
      </x:c>
      <x:c r="B56" s="36" t="str">
        <x:v>Pisos e revestimentos</x:v>
      </x:c>
      <x:c r="C56" s="36" t="str">
        <x:v>Banheiro</x:v>
      </x:c>
      <x:c r="D56" s="36" t="str">
        <x:v>Travertino Reale Greige EXT — material</x:v>
      </x:c>
      <x:c r="E56" s="37" t="n">
        <x:v>2.4</x:v>
      </x:c>
      <x:c r="F56" s="38" t="str">
        <x:v>m²</x:v>
      </x:c>
      <x:c r="G56" s="39" t="n">
        <x:v>140</x:v>
      </x:c>
      <x:c r="H56" s="40" t="n">
        <x:f>ROUND(E56*G56,2)</x:f>
        <x:v>336</x:v>
      </x:c>
      <x:c r="I56" s="36" t="str">
        <x:v>Estimativa</x:v>
      </x:c>
      <x:c r="J56" s="36" t="str">
        <x:v>Provisão de uma caixa para box, sem reaproveitar Satin em área que exige outro acabamento.</x:v>
      </x:c>
      <x:c r="K56" s="35" t="str"/>
      <x:c r="L56" s="30" t="str">
        <x:v>Projeto: 01_Projeto/Avanco_pendencias_2026-10-21/Orcamento/Mapa_orcamento_comparavel_R42.csv + consolidação R43</x:v>
      </x:c>
    </x:row>
    <x:row r="57" ht="58" customHeight="1">
      <x:c r="A57" s="41" t="str">
        <x:v>R08</x:v>
      </x:c>
      <x:c r="B57" s="41" t="str">
        <x:v>Pisos e revestimentos</x:v>
      </x:c>
      <x:c r="C57" s="41" t="str">
        <x:v>Banheiro</x:v>
      </x:c>
      <x:c r="D57" s="41" t="str">
        <x:v>Vivant Sauge Mate — paredes internas do box</x:v>
      </x:c>
      <x:c r="E57" s="42" t="n">
        <x:v>7.14</x:v>
      </x:c>
      <x:c r="F57" s="43" t="str">
        <x:v>m²</x:v>
      </x:c>
      <x:c r="G57" s="44" t="n">
        <x:v>220</x:v>
      </x:c>
      <x:c r="H57" s="45" t="n">
        <x:f>ROUND(E57*G57,2)</x:f>
        <x:v>1570.8</x:v>
      </x:c>
      <x:c r="I57" s="41" t="str">
        <x:v>Estimativa</x:v>
      </x:c>
      <x:c r="J57" s="41" t="str">
        <x:v>21 caixas × 0,34 m²; pressupõe ~6 m² líquidos + perdas. Área real e paginação pendentes.</x:v>
      </x:c>
      <x:c r="K57" s="35" t="str"/>
      <x:c r="L57" s="30" t="str">
        <x:v>https://www.telhanorte.com.br/revestimento-vivant-sauge-esmaltado-07x24-4-cm-caixa-com-0-34-m2-mate-bold-portobello-2444755/p</x:v>
      </x:c>
    </x:row>
    <x:row r="58" ht="58" customHeight="1">
      <x:c r="A58" s="36" t="str">
        <x:v>R09</x:v>
      </x:c>
      <x:c r="B58" s="36" t="str">
        <x:v>Pisos e revestimentos</x:v>
      </x:c>
      <x:c r="C58" s="36" t="str">
        <x:v>Lavanderia</x:v>
      </x:c>
      <x:c r="D58" s="36" t="str">
        <x:v>Eliane Iseo Marfim AC 90 × 90 — material</x:v>
      </x:c>
      <x:c r="E58" s="37" t="n">
        <x:v>4.86</x:v>
      </x:c>
      <x:c r="F58" s="38" t="str">
        <x:v>m²</x:v>
      </x:c>
      <x:c r="G58" s="39" t="n">
        <x:v>120</x:v>
      </x:c>
      <x:c r="H58" s="40" t="n">
        <x:f>ROUND(E58*G58,2)</x:f>
        <x:v>583.2</x:v>
      </x:c>
      <x:c r="I58" s="36" t="str">
        <x:v>Estimativa</x:v>
      </x:c>
      <x:c r="J58" s="36" t="str">
        <x:v>Provisão de compra para ~3 m² líquidos; confirmar caixa e paginação.</x:v>
      </x:c>
      <x:c r="K58" s="35" t="str"/>
      <x:c r="L58" s="30" t="str">
        <x:v>Projeto: 01_Projeto/Avanco_pendencias_2026-10-21/Orcamento/Mapa_orcamento_comparavel_R42.csv + consolidação R43</x:v>
      </x:c>
    </x:row>
    <x:row r="59" ht="58" customHeight="1">
      <x:c r="A59" s="41" t="str">
        <x:v>R10</x:v>
      </x:c>
      <x:c r="B59" s="41" t="str">
        <x:v>Pisos e revestimentos</x:v>
      </x:c>
      <x:c r="C59" s="41" t="str">
        <x:v>Cozinha</x:v>
      </x:c>
      <x:c r="D59" s="41" t="str">
        <x:v>Revestimento novo de parede — material</x:v>
      </x:c>
      <x:c r="E59" s="42" t="n">
        <x:v>4</x:v>
      </x:c>
      <x:c r="F59" s="43" t="str">
        <x:v>m²</x:v>
      </x:c>
      <x:c r="G59" s="44" t="n">
        <x:v>120</x:v>
      </x:c>
      <x:c r="H59" s="45" t="n">
        <x:f>ROUND(E59*G59,2)</x:f>
        <x:v>480</x:v>
      </x:c>
      <x:c r="I59" s="41" t="str">
        <x:v>Estimativa</x:v>
      </x:c>
      <x:c r="J59" s="41" t="str">
        <x:v>Verba de faixa de trabalho, incluindo perdas; produto/área a detalhar. Não revestir automaticamente todas as paredes.</x:v>
      </x:c>
      <x:c r="K59" s="35" t="str"/>
      <x:c r="L59" s="30" t="str">
        <x:v>Projeto: 01_Projeto/Avanco_pendencias_2026-10-21/Orcamento/Mapa_orcamento_comparavel_R42.csv + consolidação R43</x:v>
      </x:c>
    </x:row>
    <x:row r="60" ht="58" customHeight="1">
      <x:c r="A60" s="36" t="str">
        <x:v>R11</x:v>
      </x:c>
      <x:c r="B60" s="36" t="str">
        <x:v>Pisos e revestimentos</x:v>
      </x:c>
      <x:c r="C60" s="36" t="str">
        <x:v>Áreas molhadas</x:v>
      </x:c>
      <x:c r="D60" s="36" t="str">
        <x:v>Assentamento dos pisos e paredes</x:v>
      </x:c>
      <x:c r="E60" s="37" t="n">
        <x:v>16</x:v>
      </x:c>
      <x:c r="F60" s="38" t="str">
        <x:v>m²</x:v>
      </x:c>
      <x:c r="G60" s="39" t="n">
        <x:v>110</x:v>
      </x:c>
      <x:c r="H60" s="40" t="n">
        <x:f>ROUND(E60*G60,2)</x:f>
        <x:v>1760</x:v>
      </x:c>
      <x:c r="I60" s="36" t="str">
        <x:v>Estimativa</x:v>
      </x:c>
      <x:c r="J60" s="36" t="str">
        <x:v>Quantidade provisória líquida: banho ~2,6 + lavanderia ~3 + box ~6 + cozinha ~4. Não usar área de compra com perdas para cobrar instalação.</x:v>
      </x:c>
      <x:c r="K60" s="35" t="str"/>
      <x:c r="L60" s="30" t="str">
        <x:v>Projeto: 01_Projeto/Avanco_pendencias_2026-10-21/Orcamento/Mapa_orcamento_comparavel_R42.csv + consolidação R43</x:v>
      </x:c>
    </x:row>
    <x:row r="61" ht="58" customHeight="1">
      <x:c r="A61" s="41" t="str">
        <x:v>R12</x:v>
      </x:c>
      <x:c r="B61" s="41" t="str">
        <x:v>Pisos e revestimentos</x:v>
      </x:c>
      <x:c r="C61" s="41" t="str">
        <x:v>Áreas molhadas</x:v>
      </x:c>
      <x:c r="D61" s="41" t="str">
        <x:v>Argamassa, rejunte, selantes e espaçadores</x:v>
      </x:c>
      <x:c r="E61" s="42" t="n">
        <x:v>1</x:v>
      </x:c>
      <x:c r="F61" s="43" t="str">
        <x:v>verba</x:v>
      </x:c>
      <x:c r="G61" s="44" t="n">
        <x:v>650</x:v>
      </x:c>
      <x:c r="H61" s="45" t="n">
        <x:f>ROUND(E61*G61,2)</x:f>
        <x:v>650</x:v>
      </x:c>
      <x:c r="I61" s="41" t="str">
        <x:v>Estimativa</x:v>
      </x:c>
      <x:c r="J61" s="41" t="str">
        <x:v>Materiais de assentamento separados da mão de obra.</x:v>
      </x:c>
      <x:c r="K61" s="35" t="str"/>
      <x:c r="L61" s="30" t="str">
        <x:v>Projeto: 01_Projeto/Avanco_pendencias_2026-10-21/Orcamento/Mapa_orcamento_comparavel_R42.csv + consolidação R43</x:v>
      </x:c>
    </x:row>
    <x:row r="62" ht="58" customHeight="1">
      <x:c r="A62" s="36" t="str">
        <x:v>O01</x:v>
      </x:c>
      <x:c r="B62" s="36" t="str">
        <x:v>Obra e pintura</x:v>
      </x:c>
      <x:c r="C62" s="36" t="str">
        <x:v>Geral</x:v>
      </x:c>
      <x:c r="D62" s="36" t="str">
        <x:v>Proteção de elevador, portas, janelas e pisos</x:v>
      </x:c>
      <x:c r="E62" s="37" t="n">
        <x:v>1</x:v>
      </x:c>
      <x:c r="F62" s="38" t="str">
        <x:v>verba</x:v>
      </x:c>
      <x:c r="G62" s="39" t="n">
        <x:v>800</x:v>
      </x:c>
      <x:c r="H62" s="40" t="n">
        <x:f>ROUND(E62*G62,2)</x:f>
        <x:v>800</x:v>
      </x:c>
      <x:c r="I62" s="36" t="str">
        <x:v>Estimativa</x:v>
      </x:c>
      <x:c r="J62" s="36" t="str">
        <x:v>Verba estimada para fornecimento instalado; cotar com o escopo vigente.</x:v>
      </x:c>
      <x:c r="K62" s="35" t="str"/>
      <x:c r="L62" s="30" t="str">
        <x:v>Projeto: 01_Projeto/Avanco_pendencias_2026-10-21/Orcamento/Mapa_orcamento_comparavel_R42.csv + consolidação R43</x:v>
      </x:c>
    </x:row>
    <x:row r="63" ht="58" customHeight="1">
      <x:c r="A63" s="41" t="str">
        <x:v>O02</x:v>
      </x:c>
      <x:c r="B63" s="41" t="str">
        <x:v>Obra e pintura</x:v>
      </x:c>
      <x:c r="C63" s="41" t="str">
        <x:v>Geral</x:v>
      </x:c>
      <x:c r="D63" s="41" t="str">
        <x:v>Retirada de laminado e revestimentos substituídos</x:v>
      </x:c>
      <x:c r="E63" s="42" t="n">
        <x:v>1</x:v>
      </x:c>
      <x:c r="F63" s="43" t="str">
        <x:v>verba</x:v>
      </x:c>
      <x:c r="G63" s="44" t="n">
        <x:v>1200</x:v>
      </x:c>
      <x:c r="H63" s="45" t="n">
        <x:f>ROUND(E63*G63,2)</x:f>
        <x:v>1200</x:v>
      </x:c>
      <x:c r="I63" s="41" t="str">
        <x:v>Estimativa</x:v>
      </x:c>
      <x:c r="J63" s="41" t="str">
        <x:v>Sem demolição estrutural; bancadas entregues a substituir incluídas.</x:v>
      </x:c>
      <x:c r="K63" s="35" t="str"/>
      <x:c r="L63" s="30" t="str">
        <x:v>Projeto: 01_Projeto/Avanco_pendencias_2026-10-21/Orcamento/Mapa_orcamento_comparavel_R42.csv + consolidação R43</x:v>
      </x:c>
    </x:row>
    <x:row r="64" ht="58" customHeight="1">
      <x:c r="A64" s="36" t="str">
        <x:v>O03</x:v>
      </x:c>
      <x:c r="B64" s="36" t="str">
        <x:v>Obra e pintura</x:v>
      </x:c>
      <x:c r="C64" s="36" t="str">
        <x:v>Geral</x:v>
      </x:c>
      <x:c r="D64" s="36" t="str">
        <x:v>Ensacamento, transporte e descarte de entulho</x:v>
      </x:c>
      <x:c r="E64" s="37" t="n">
        <x:v>1</x:v>
      </x:c>
      <x:c r="F64" s="38" t="str">
        <x:v>verba</x:v>
      </x:c>
      <x:c r="G64" s="39" t="n">
        <x:v>900</x:v>
      </x:c>
      <x:c r="H64" s="40" t="n">
        <x:f>ROUND(E64*G64,2)</x:f>
        <x:v>900</x:v>
      </x:c>
      <x:c r="I64" s="36" t="str">
        <x:v>Estimativa</x:v>
      </x:c>
      <x:c r="J64" s="36" t="str">
        <x:v>Verba estimada para fornecimento instalado; cotar com o escopo vigente.</x:v>
      </x:c>
      <x:c r="K64" s="35" t="str"/>
      <x:c r="L64" s="30" t="str">
        <x:v>Projeto: 01_Projeto/Avanco_pendencias_2026-10-21/Orcamento/Mapa_orcamento_comparavel_R42.csv + consolidação R43</x:v>
      </x:c>
    </x:row>
    <x:row r="65" ht="58" customHeight="1">
      <x:c r="A65" s="41" t="str">
        <x:v>O04</x:v>
      </x:c>
      <x:c r="B65" s="41" t="str">
        <x:v>Obra e pintura</x:v>
      </x:c>
      <x:c r="C65" s="41" t="str">
        <x:v>Áreas molhadas</x:v>
      </x:c>
      <x:c r="D65" s="41" t="str">
        <x:v>Impermeabilização, preparação e teste</x:v>
      </x:c>
      <x:c r="E65" s="42" t="n">
        <x:v>1</x:v>
      </x:c>
      <x:c r="F65" s="43" t="str">
        <x:v>verba</x:v>
      </x:c>
      <x:c r="G65" s="44" t="n">
        <x:v>1800</x:v>
      </x:c>
      <x:c r="H65" s="45" t="n">
        <x:f>ROUND(E65*G65,2)</x:f>
        <x:v>1800</x:v>
      </x:c>
      <x:c r="I65" s="41" t="str">
        <x:v>Estimativa</x:v>
      </x:c>
      <x:c r="J65" s="41" t="str">
        <x:v>Sistema e área definidos pelo responsável; não confundir com regularização do piso seco R02.</x:v>
      </x:c>
      <x:c r="K65" s="35" t="str"/>
      <x:c r="L65" s="30" t="str">
        <x:v>Projeto: 01_Projeto/Avanco_pendencias_2026-10-21/Orcamento/Mapa_orcamento_comparavel_R42.csv + consolidação R43</x:v>
      </x:c>
    </x:row>
    <x:row r="66" ht="58" customHeight="1">
      <x:c r="A66" s="36" t="str">
        <x:v>O05</x:v>
      </x:c>
      <x:c r="B66" s="36" t="str">
        <x:v>Obra e pintura</x:v>
      </x:c>
      <x:c r="C66" s="36" t="str">
        <x:v>Geral</x:v>
      </x:c>
      <x:c r="D66" s="36" t="str">
        <x:v>Pintura — mão de obra e pequenos reparos</x:v>
      </x:c>
      <x:c r="E66" s="37" t="n">
        <x:v>1</x:v>
      </x:c>
      <x:c r="F66" s="38" t="str">
        <x:v>verba</x:v>
      </x:c>
      <x:c r="G66" s="39" t="n">
        <x:v>3200</x:v>
      </x:c>
      <x:c r="H66" s="40" t="n">
        <x:f>ROUND(E66*G66,2)</x:f>
        <x:v>3200</x:v>
      </x:c>
      <x:c r="I66" s="36" t="str">
        <x:v>Estimativa</x:v>
      </x:c>
      <x:c r="J66" s="36" t="str">
        <x:v>Paredes e tetos, preparação usual; tinta Algodão Egípcio existente não é comprada de novo.</x:v>
      </x:c>
      <x:c r="K66" s="35" t="str"/>
      <x:c r="L66" s="30" t="str">
        <x:v>Projeto: 01_Projeto/Avanco_pendencias_2026-10-21/Orcamento/Mapa_orcamento_comparavel_R42.csv + consolidação R43</x:v>
      </x:c>
    </x:row>
    <x:row r="67" ht="58" customHeight="1">
      <x:c r="A67" s="41" t="str">
        <x:v>O06</x:v>
      </x:c>
      <x:c r="B67" s="41" t="str">
        <x:v>Obra e pintura</x:v>
      </x:c>
      <x:c r="C67" s="41" t="str">
        <x:v>Geral</x:v>
      </x:c>
      <x:c r="D67" s="41" t="str">
        <x:v>Pintura — massa, selador, tinta branca e consumíveis</x:v>
      </x:c>
      <x:c r="E67" s="42" t="n">
        <x:v>1</x:v>
      </x:c>
      <x:c r="F67" s="43" t="str">
        <x:v>verba</x:v>
      </x:c>
      <x:c r="G67" s="44" t="n">
        <x:v>850</x:v>
      </x:c>
      <x:c r="H67" s="45" t="n">
        <x:f>ROUND(E67*G67,2)</x:f>
        <x:v>850</x:v>
      </x:c>
      <x:c r="I67" s="41" t="str">
        <x:v>Estimativa</x:v>
      </x:c>
      <x:c r="J67" s="41" t="str">
        <x:v>Exclui a lata existente de 20 L Algodão Egípcio. Validade/rendimento ainda devem ser conferidos.</x:v>
      </x:c>
      <x:c r="K67" s="35" t="str"/>
      <x:c r="L67" s="30" t="str">
        <x:v>Projeto: 01_Projeto/Avanco_pendencias_2026-10-21/Orcamento/Mapa_orcamento_comparavel_R42.csv + consolidação R43</x:v>
      </x:c>
    </x:row>
    <x:row r="68" ht="58" customHeight="1">
      <x:c r="A68" s="36" t="str">
        <x:v>O07</x:v>
      </x:c>
      <x:c r="B68" s="36" t="str">
        <x:v>Obra e pintura</x:v>
      </x:c>
      <x:c r="C68" s="36" t="str">
        <x:v>Escritório</x:v>
      </x:c>
      <x:c r="D68" s="36" t="str">
        <x:v>Forro com tratamento térmico/acústico</x:v>
      </x:c>
      <x:c r="E68" s="37" t="n">
        <x:v>7</x:v>
      </x:c>
      <x:c r="F68" s="38" t="str">
        <x:v>m²</x:v>
      </x:c>
      <x:c r="G68" s="39" t="n">
        <x:v>230</x:v>
      </x:c>
      <x:c r="H68" s="40" t="n">
        <x:f>ROUND(E68*G68,2)</x:f>
        <x:v>1610</x:v>
      </x:c>
      <x:c r="I68" s="36" t="str">
        <x:v>Estimativa</x:v>
      </x:c>
      <x:c r="J68" s="36" t="str">
        <x:v>Área provisória; gesso, lã, estrutura e instalação. Desempenho e rebaixo dependem do sistema executivo.</x:v>
      </x:c>
      <x:c r="K68" s="35" t="str"/>
      <x:c r="L68" s="30" t="str">
        <x:v>Projeto: 01_Projeto/Avanco_pendencias_2026-10-21/Orcamento/Mapa_orcamento_comparavel_R42.csv + consolidação R43</x:v>
      </x:c>
    </x:row>
    <x:row r="69" ht="58" customHeight="1">
      <x:c r="A69" s="41" t="str">
        <x:v>O08</x:v>
      </x:c>
      <x:c r="B69" s="41" t="str">
        <x:v>Obra e pintura</x:v>
      </x:c>
      <x:c r="C69" s="41" t="str">
        <x:v>Geral</x:v>
      </x:c>
      <x:c r="D69" s="41" t="str">
        <x:v>Faixas, cortineiros e reparos de gesso</x:v>
      </x:c>
      <x:c r="E69" s="42" t="n">
        <x:v>1</x:v>
      </x:c>
      <x:c r="F69" s="43" t="str">
        <x:v>verba</x:v>
      </x:c>
      <x:c r="G69" s="44" t="n">
        <x:v>1200</x:v>
      </x:c>
      <x:c r="H69" s="45" t="n">
        <x:f>ROUND(E69*G69,2)</x:f>
        <x:v>1200</x:v>
      </x:c>
      <x:c r="I69" s="41" t="str">
        <x:v>Estimativa</x:v>
      </x:c>
      <x:c r="J69" s="41" t="str">
        <x:v>Complementos locais cozinha/banheiro/sala; não pressupõe forro novo no apartamento inteiro.</x:v>
      </x:c>
      <x:c r="K69" s="35" t="str"/>
      <x:c r="L69" s="30" t="str">
        <x:v>Projeto: 01_Projeto/Avanco_pendencias_2026-10-21/Orcamento/Mapa_orcamento_comparavel_R42.csv + consolidação R43</x:v>
      </x:c>
    </x:row>
    <x:row r="70" ht="58" customHeight="1">
      <x:c r="A70" s="36" t="str">
        <x:v>I01</x:v>
      </x:c>
      <x:c r="B70" s="36" t="str">
        <x:v>Instalações</x:v>
      </x:c>
      <x:c r="C70" s="36" t="str">
        <x:v>Geral</x:v>
      </x:c>
      <x:c r="D70" s="36" t="str">
        <x:v>Elétrica: circuitos, proteções, cabos e tomadas</x:v>
      </x:c>
      <x:c r="E70" s="37" t="n">
        <x:v>1</x:v>
      </x:c>
      <x:c r="F70" s="38" t="str">
        <x:v>verba</x:v>
      </x:c>
      <x:c r="G70" s="39" t="n">
        <x:v>3800</x:v>
      </x:c>
      <x:c r="H70" s="40" t="n">
        <x:f>ROUND(E70*G70,2)</x:f>
        <x:v>3800</x:v>
      </x:c>
      <x:c r="I70" s="36" t="str">
        <x:v>Estimativa</x:v>
      </x:c>
      <x:c r="J70" s="36" t="str">
        <x:v>Materiais + mão de obra, instalação de luminárias e ligações dos aparelhos. Sem comprar luminárias aqui.</x:v>
      </x:c>
      <x:c r="K70" s="35" t="str"/>
      <x:c r="L70" s="30" t="str">
        <x:v>Projeto: 01_Projeto/Avanco_pendencias_2026-10-21/Orcamento/Mapa_orcamento_comparavel_R42.csv + consolidação R43</x:v>
      </x:c>
    </x:row>
    <x:row r="71" ht="58" customHeight="1">
      <x:c r="A71" s="41" t="str">
        <x:v>I02</x:v>
      </x:c>
      <x:c r="B71" s="41" t="str">
        <x:v>Instalações</x:v>
      </x:c>
      <x:c r="C71" s="41" t="str">
        <x:v>Escritório</x:v>
      </x:c>
      <x:c r="D71" s="41" t="str">
        <x:v>Rede e organização de cabos</x:v>
      </x:c>
      <x:c r="E71" s="42" t="n">
        <x:v>1</x:v>
      </x:c>
      <x:c r="F71" s="43" t="str">
        <x:v>verba</x:v>
      </x:c>
      <x:c r="G71" s="44" t="n">
        <x:v>450</x:v>
      </x:c>
      <x:c r="H71" s="45" t="n">
        <x:f>ROUND(E71*G71,2)</x:f>
        <x:v>450</x:v>
      </x:c>
      <x:c r="I71" s="41" t="str">
        <x:v>Estimativa</x:v>
      </x:c>
      <x:c r="J71" s="41" t="str">
        <x:v>Passagens, terminações e fixação; PC, telas e periféricos existentes excluídos.</x:v>
      </x:c>
      <x:c r="K71" s="35" t="str"/>
      <x:c r="L71" s="30" t="str">
        <x:v>Projeto: 01_Projeto/Avanco_pendencias_2026-10-21/Orcamento/Mapa_orcamento_comparavel_R42.csv + consolidação R43</x:v>
      </x:c>
    </x:row>
    <x:row r="72" ht="58" customHeight="1">
      <x:c r="A72" s="36" t="str">
        <x:v>I03</x:v>
      </x:c>
      <x:c r="B72" s="36" t="str">
        <x:v>Instalações</x:v>
      </x:c>
      <x:c r="C72" s="36" t="str">
        <x:v>Áreas molhadas</x:v>
      </x:c>
      <x:c r="D72" s="36" t="str">
        <x:v>Instalação hidráulica de cubas, torneiras e aparelhos</x:v>
      </x:c>
      <x:c r="E72" s="37" t="n">
        <x:v>1</x:v>
      </x:c>
      <x:c r="F72" s="38" t="str">
        <x:v>verba</x:v>
      </x:c>
      <x:c r="G72" s="39" t="n">
        <x:v>1600</x:v>
      </x:c>
      <x:c r="H72" s="40" t="n">
        <x:f>ROUND(E72*G72,2)</x:f>
        <x:v>1600</x:v>
      </x:c>
      <x:c r="I72" s="36" t="str">
        <x:v>Estimativa</x:v>
      </x:c>
      <x:c r="J72" s="36" t="str">
        <x:v>Mão de obra, pequenas adaptações e eventual reinstalação do vaso existente; sifões/flexíveis em H06.</x:v>
      </x:c>
      <x:c r="K72" s="35" t="str"/>
      <x:c r="L72" s="30" t="str">
        <x:v>Projeto: 01_Projeto/Avanco_pendencias_2026-10-21/Orcamento/Mapa_orcamento_comparavel_R42.csv + consolidação R43</x:v>
      </x:c>
    </x:row>
    <x:row r="73" ht="58" customHeight="1">
      <x:c r="A73" s="41" t="str">
        <x:v>I04</x:v>
      </x:c>
      <x:c r="B73" s="41" t="str">
        <x:v>Instalações</x:v>
      </x:c>
      <x:c r="C73" s="41" t="str">
        <x:v>Áreas molhadas</x:v>
      </x:c>
      <x:c r="D73" s="41" t="str">
        <x:v>Derivações de água quente e ocultação local</x:v>
      </x:c>
      <x:c r="E73" s="42" t="n">
        <x:v>1</x:v>
      </x:c>
      <x:c r="F73" s="43" t="str">
        <x:v>verba</x:v>
      </x:c>
      <x:c r="G73" s="44" t="n">
        <x:v>2200</x:v>
      </x:c>
      <x:c r="H73" s="45" t="n">
        <x:f>ROUND(E73*G73,2)</x:f>
        <x:v>2200</x:v>
      </x:c>
      <x:c r="I73" s="41" t="str">
        <x:v>Estimativa</x:v>
      </x:c>
      <x:c r="J73" s="41" t="str">
        <x:v>Verba condicional para percurso a validar; tubos, conexões e mão de obra. Acabamento em gesso O08.</x:v>
      </x:c>
      <x:c r="K73" s="35" t="str"/>
      <x:c r="L73" s="30" t="str">
        <x:v>Projeto: 01_Projeto/Avanco_pendencias_2026-10-21/Orcamento/Mapa_orcamento_comparavel_R42.csv + consolidação R43</x:v>
      </x:c>
    </x:row>
    <x:row r="74" ht="58" customHeight="1">
      <x:c r="A74" s="36" t="str">
        <x:v>I05</x:v>
      </x:c>
      <x:c r="B74" s="36" t="str">
        <x:v>Instalações</x:v>
      </x:c>
      <x:c r="C74" s="36" t="str">
        <x:v>Lavanderia</x:v>
      </x:c>
      <x:c r="D74" s="36" t="str">
        <x:v>Instalação do aquecedor GN e exaustão</x:v>
      </x:c>
      <x:c r="E74" s="37" t="n">
        <x:v>1</x:v>
      </x:c>
      <x:c r="F74" s="38" t="str">
        <x:v>conj.</x:v>
      </x:c>
      <x:c r="G74" s="39" t="n">
        <x:v>1100</x:v>
      </x:c>
      <x:c r="H74" s="40" t="n">
        <x:f>ROUND(E74*G74,2)</x:f>
        <x:v>1100</x:v>
      </x:c>
      <x:c r="I74" s="36" t="str">
        <x:v>Estimativa</x:v>
      </x:c>
      <x:c r="J74" s="36" t="str">
        <x:v>Duto, terminal, conexões, mão de obra e teste; aparelho separado em E05.</x:v>
      </x:c>
      <x:c r="K74" s="35" t="str"/>
      <x:c r="L74" s="30" t="str">
        <x:v>Projeto: 01_Projeto/Avanco_pendencias_2026-10-21/Orcamento/Mapa_orcamento_comparavel_R42.csv + consolidação R43</x:v>
      </x:c>
    </x:row>
    <x:row r="75" ht="58" customHeight="1">
      <x:c r="A75" s="41" t="str">
        <x:v>I06</x:v>
      </x:c>
      <x:c r="B75" s="41" t="str">
        <x:v>Instalações</x:v>
      </x:c>
      <x:c r="C75" s="41" t="str">
        <x:v>Cozinha</x:v>
      </x:c>
      <x:c r="D75" s="41" t="str">
        <x:v>Ligação/conversão GN do cooktop e teste</x:v>
      </x:c>
      <x:c r="E75" s="42" t="n">
        <x:v>1</x:v>
      </x:c>
      <x:c r="F75" s="43" t="str">
        <x:v>conj.</x:v>
      </x:c>
      <x:c r="G75" s="44" t="n">
        <x:v>450</x:v>
      </x:c>
      <x:c r="H75" s="45" t="n">
        <x:f>ROUND(E75*G75,2)</x:f>
        <x:v>450</x:v>
      </x:c>
      <x:c r="I75" s="41" t="str">
        <x:v>Estimativa</x:v>
      </x:c>
      <x:c r="J75" s="41" t="str">
        <x:v>Se fabricante incluir parte do serviço, abater esta verba.</x:v>
      </x:c>
      <x:c r="K75" s="35" t="str"/>
      <x:c r="L75" s="30" t="str">
        <x:v>Projeto: 01_Projeto/Avanco_pendencias_2026-10-21/Orcamento/Mapa_orcamento_comparavel_R42.csv + consolidação R43</x:v>
      </x:c>
    </x:row>
    <x:row r="76" ht="58" customHeight="1">
      <x:c r="A76" s="36" t="str">
        <x:v>I07</x:v>
      </x:c>
      <x:c r="B76" s="36" t="str">
        <x:v>Instalações</x:v>
      </x:c>
      <x:c r="C76" s="36" t="str">
        <x:v>Geral</x:v>
      </x:c>
      <x:c r="D76" s="36" t="str">
        <x:v>Medidor/ativação de gás — provisão</x:v>
      </x:c>
      <x:c r="E76" s="37" t="n">
        <x:v>1</x:v>
      </x:c>
      <x:c r="F76" s="38" t="str">
        <x:v>verba</x:v>
      </x:c>
      <x:c r="G76" s="39" t="n">
        <x:v>500</x:v>
      </x:c>
      <x:c r="H76" s="40" t="n">
        <x:f>ROUND(E76*G76,2)</x:f>
        <x:v>500</x:v>
      </x:c>
      <x:c r="I76" s="36" t="str">
        <x:v>Estimativa</x:v>
      </x:c>
      <x:c r="J76" s="36" t="str">
        <x:v>Confirmar cobrança e escopo com concessionária/condomínio; não é tarifa pesquisada.</x:v>
      </x:c>
      <x:c r="K76" s="35" t="str"/>
      <x:c r="L76" s="30" t="str">
        <x:v>Projeto: 01_Projeto/Avanco_pendencias_2026-10-21/Orcamento/Mapa_orcamento_comparavel_R42.csv + consolidação R43</x:v>
      </x:c>
    </x:row>
    <x:row r="77" ht="58" customHeight="1">
      <x:c r="A77" s="41" t="str">
        <x:v>S01</x:v>
      </x:c>
      <x:c r="B77" s="41" t="str">
        <x:v>Pedras e box</x:v>
      </x:c>
      <x:c r="C77" s="41" t="str">
        <x:v>Cozinha</x:v>
      </x:c>
      <x:c r="D77" s="41" t="str">
        <x:v>Branco Itaúnas: bancada, recortes e acabamento</x:v>
      </x:c>
      <x:c r="E77" s="42" t="n">
        <x:v>1</x:v>
      </x:c>
      <x:c r="F77" s="43" t="str">
        <x:v>conj.</x:v>
      </x:c>
      <x:c r="G77" s="44" t="n">
        <x:v>2400</x:v>
      </x:c>
      <x:c r="H77" s="45" t="n">
        <x:f>ROUND(E77*G77,2)</x:f>
        <x:v>2400</x:v>
      </x:c>
      <x:c r="I77" s="41" t="str">
        <x:v>Estimativa</x:v>
      </x:c>
      <x:c r="J77" s="41" t="str">
        <x:v>Sob medida; provisão ~2,3 m de bancada. Inclui medição, entrega, instalação e frontão baixo. Cuba separada.</x:v>
      </x:c>
      <x:c r="K77" s="35" t="str"/>
      <x:c r="L77" s="30" t="str">
        <x:v>Projeto: 01_Projeto/Avanco_pendencias_2026-10-21/Orcamento/Mapa_orcamento_comparavel_R42.csv + consolidação R43</x:v>
      </x:c>
    </x:row>
    <x:row r="78" ht="58" customHeight="1">
      <x:c r="A78" s="36" t="str">
        <x:v>S02</x:v>
      </x:c>
      <x:c r="B78" s="36" t="str">
        <x:v>Pedras e box</x:v>
      </x:c>
      <x:c r="C78" s="36" t="str">
        <x:v>Lavanderia</x:v>
      </x:c>
      <x:c r="D78" s="36" t="str">
        <x:v>Continuação da bancada e tanque esculpido</x:v>
      </x:c>
      <x:c r="E78" s="37" t="n">
        <x:v>1</x:v>
      </x:c>
      <x:c r="F78" s="38" t="str">
        <x:v>conj.</x:v>
      </x:c>
      <x:c r="G78" s="39" t="n">
        <x:v>1900</x:v>
      </x:c>
      <x:c r="H78" s="40" t="n">
        <x:f>ROUND(E78*G78,2)</x:f>
        <x:v>1900</x:v>
      </x:c>
      <x:c r="I78" s="36" t="str">
        <x:v>Estimativa</x:v>
      </x:c>
      <x:c r="J78" s="36" t="str">
        <x:v>Incremento da lavanderia; tanque 38 × 35 × 20 cm úteis; não comprar tanque inox adicional.</x:v>
      </x:c>
      <x:c r="K78" s="35" t="str"/>
      <x:c r="L78" s="30" t="str">
        <x:v>Projeto: 01_Projeto/Avanco_pendencias_2026-10-21/Orcamento/Mapa_orcamento_comparavel_R42.csv + consolidação R43</x:v>
      </x:c>
    </x:row>
    <x:row r="79" ht="58" customHeight="1">
      <x:c r="A79" s="41" t="str">
        <x:v>S03</x:v>
      </x:c>
      <x:c r="B79" s="41" t="str">
        <x:v>Pedras e box</x:v>
      </x:c>
      <x:c r="C79" s="41" t="str">
        <x:v>Banheiro</x:v>
      </x:c>
      <x:c r="D79" s="41" t="str">
        <x:v>Bancada Branco Itaúnas</x:v>
      </x:c>
      <x:c r="E79" s="42" t="n">
        <x:v>1</x:v>
      </x:c>
      <x:c r="F79" s="43" t="str">
        <x:v>conj.</x:v>
      </x:c>
      <x:c r="G79" s="44" t="n">
        <x:v>650</x:v>
      </x:c>
      <x:c r="H79" s="45" t="n">
        <x:f>ROUND(E79*G79,2)</x:f>
        <x:v>650</x:v>
      </x:c>
      <x:c r="I79" s="41" t="str">
        <x:v>Estimativa</x:v>
      </x:c>
      <x:c r="J79" s="41" t="str">
        <x:v>Peça ~60 cm, recorte, acabamento, entrega e instalação. Cuba separada.</x:v>
      </x:c>
      <x:c r="K79" s="35" t="str"/>
      <x:c r="L79" s="30" t="str">
        <x:v>Projeto: 01_Projeto/Avanco_pendencias_2026-10-21/Orcamento/Mapa_orcamento_comparavel_R42.csv + consolidação R43</x:v>
      </x:c>
    </x:row>
    <x:row r="80" ht="58" customHeight="1">
      <x:c r="A80" s="36" t="str">
        <x:v>S04</x:v>
      </x:c>
      <x:c r="B80" s="36" t="str">
        <x:v>Pedras e box</x:v>
      </x:c>
      <x:c r="C80" s="36" t="str">
        <x:v>Geral</x:v>
      </x:c>
      <x:c r="D80" s="36" t="str">
        <x:v>Soleiras e pequenos acabamentos de pedra</x:v>
      </x:c>
      <x:c r="E80" s="37" t="n">
        <x:v>1</x:v>
      </x:c>
      <x:c r="F80" s="38" t="str">
        <x:v>verba</x:v>
      </x:c>
      <x:c r="G80" s="39" t="n">
        <x:v>350</x:v>
      </x:c>
      <x:c r="H80" s="40" t="n">
        <x:f>ROUND(E80*G80,2)</x:f>
        <x:v>350</x:v>
      </x:c>
      <x:c r="I80" s="36" t="str">
        <x:v>Estimativa</x:v>
      </x:c>
      <x:c r="J80" s="36" t="str">
        <x:v>Verba estimada para fornecimento instalado; cotar com o escopo vigente.</x:v>
      </x:c>
      <x:c r="K80" s="35" t="str"/>
      <x:c r="L80" s="30" t="str">
        <x:v>Projeto: 01_Projeto/Avanco_pendencias_2026-10-21/Orcamento/Mapa_orcamento_comparavel_R42.csv + consolidação R43</x:v>
      </x:c>
    </x:row>
    <x:row r="81" ht="58" customHeight="1">
      <x:c r="A81" s="41" t="str">
        <x:v>S05</x:v>
      </x:c>
      <x:c r="B81" s="41" t="str">
        <x:v>Pedras e box</x:v>
      </x:c>
      <x:c r="C81" s="41" t="str">
        <x:v>Banheiro</x:v>
      </x:c>
      <x:c r="D81" s="41" t="str">
        <x:v>Box transparente com perfis pretos</x:v>
      </x:c>
      <x:c r="E81" s="42" t="n">
        <x:v>1</x:v>
      </x:c>
      <x:c r="F81" s="43" t="str">
        <x:v>conj.</x:v>
      </x:c>
      <x:c r="G81" s="44" t="n">
        <x:v>1400</x:v>
      </x:c>
      <x:c r="H81" s="45" t="n">
        <x:f>ROUND(E81*G81,2)</x:f>
        <x:v>1400</x:v>
      </x:c>
      <x:c r="I81" s="41" t="str">
        <x:v>Estimativa</x:v>
      </x:c>
      <x:c r="J81" s="41" t="str">
        <x:v>Medição, vidro, ferragens e instalação. Dimensões e abertura a confirmar; não pressupõe fechamento até o teto.</x:v>
      </x:c>
      <x:c r="K81" s="35" t="str"/>
      <x:c r="L81" s="30" t="str">
        <x:v>Projeto: 01_Projeto/Avanco_pendencias_2026-10-21/Orcamento/Mapa_orcamento_comparavel_R42.csv + consolidação R43</x:v>
      </x:c>
    </x:row>
    <x:row r="82" ht="58" customHeight="1">
      <x:c r="A82" s="36" t="str">
        <x:v>H01</x:v>
      </x:c>
      <x:c r="B82" s="36" t="str">
        <x:v>Louças e metais</x:v>
      </x:c>
      <x:c r="C82" s="36" t="str">
        <x:v>Cozinha</x:v>
      </x:c>
      <x:c r="D82" s="36" t="str">
        <x:v>Cuba Tramontina Dora 40 BL R6 94017/113</x:v>
      </x:c>
      <x:c r="E82" s="37" t="n">
        <x:v>1</x:v>
      </x:c>
      <x:c r="F82" s="38" t="str">
        <x:v>un.</x:v>
      </x:c>
      <x:c r="G82" s="39" t="n">
        <x:v>521.55</x:v>
      </x:c>
      <x:c r="H82" s="40" t="n">
        <x:f>ROUND(E82*G82,2)</x:f>
        <x:v>521.55</x:v>
      </x:c>
      <x:c r="I82" s="36" t="str">
        <x:v>Referência web</x:v>
      </x:c>
      <x:c r="J82" s="36" t="str">
        <x:v>À vista; válvula com escape incluída, sem duplicar em H06.</x:v>
      </x:c>
      <x:c r="K82" s="35" t="str"/>
      <x:c r="L82" s="30" t="str">
        <x:v>https://www.vicomexprime.com.br/cuba-de-embutir-tramontina-dora-40-bl-r6-em-aco-inox-acetinado-com-valvula-e-escape-40x34-cm-94017113</x:v>
      </x:c>
    </x:row>
    <x:row r="83" ht="58" customHeight="1">
      <x:c r="A83" s="41" t="str">
        <x:v>H02</x:v>
      </x:c>
      <x:c r="B83" s="41" t="str">
        <x:v>Louças e metais</x:v>
      </x:c>
      <x:c r="C83" s="41" t="str">
        <x:v>Cozinha</x:v>
      </x:c>
      <x:c r="D83" s="41" t="str">
        <x:v>Pingoo Apurema preta extensível</x:v>
      </x:c>
      <x:c r="E83" s="42" t="n">
        <x:v>1</x:v>
      </x:c>
      <x:c r="F83" s="43" t="str">
        <x:v>un.</x:v>
      </x:c>
      <x:c r="G83" s="44" t="n">
        <x:v>288.9</x:v>
      </x:c>
      <x:c r="H83" s="45" t="n">
        <x:f>ROUND(E83*G83,2)</x:f>
        <x:v>288.9</x:v>
      </x:c>
      <x:c r="I83" s="41" t="str">
        <x:v>Referência web</x:v>
      </x:c>
      <x:c r="J83" s="41" t="str">
        <x:v>Página aberta: à vista; R$304,10 parcelado.</x:v>
      </x:c>
      <x:c r="K83" s="35" t="str"/>
      <x:c r="L83" s="30" t="str">
        <x:v>https://www.pingoo.casa/torneira-para-cozinha-gourmet-misturador-monocomando-extensivel-em-aco-inox-304-fosco-apurema-preto</x:v>
      </x:c>
    </x:row>
    <x:row r="84" ht="58" customHeight="1">
      <x:c r="A84" s="36" t="str">
        <x:v>H03</x:v>
      </x:c>
      <x:c r="B84" s="36" t="str">
        <x:v>Louças e metais</x:v>
      </x:c>
      <x:c r="C84" s="36" t="str">
        <x:v>Banheiro</x:v>
      </x:c>
      <x:c r="D84" s="36" t="str">
        <x:v>Cuba Deca Slim L.13040.17 40 × 30 cm</x:v>
      </x:c>
      <x:c r="E84" s="37" t="n">
        <x:v>1</x:v>
      </x:c>
      <x:c r="F84" s="38" t="str">
        <x:v>un.</x:v>
      </x:c>
      <x:c r="G84" s="39" t="n">
        <x:v>684.9</x:v>
      </x:c>
      <x:c r="H84" s="40" t="n">
        <x:f>ROUND(E84*G84,2)</x:f>
        <x:v>684.9</x:v>
      </x:c>
      <x:c r="I84" s="36" t="str">
        <x:v>Referência web</x:v>
      </x:c>
      <x:c r="J84" s="36" t="str">
        <x:v>Preço anunciado sem aplicar desconto Pix adicional; sem válvula.</x:v>
      </x:c>
      <x:c r="K84" s="35" t="str"/>
      <x:c r="L84" s="30" t="str">
        <x:v>https://zeniacabamentos.com.br/cuba-retangular-apoio-40cm-branca-deca-l1304017</x:v>
      </x:c>
    </x:row>
    <x:row r="85" ht="58" customHeight="1">
      <x:c r="A85" s="41" t="str">
        <x:v>H04</x:v>
      </x:c>
      <x:c r="B85" s="41" t="str">
        <x:v>Louças e metais</x:v>
      </x:c>
      <x:c r="C85" s="41" t="str">
        <x:v>Banheiro</x:v>
      </x:c>
      <x:c r="D85" s="41" t="str">
        <x:v>Misturador Addra Arion Black 73131B</x:v>
      </x:c>
      <x:c r="E85" s="42" t="n">
        <x:v>1</x:v>
      </x:c>
      <x:c r="F85" s="43" t="str">
        <x:v>un.</x:v>
      </x:c>
      <x:c r="G85" s="44" t="n">
        <x:v>750</x:v>
      </x:c>
      <x:c r="H85" s="45" t="n">
        <x:f>ROUND(E85*G85,2)</x:f>
        <x:v>750</x:v>
      </x:c>
      <x:c r="I85" s="41" t="str">
        <x:v>Estimativa</x:v>
      </x:c>
      <x:c r="J85" s="41" t="str">
        <x:v>Valor de planejamento conforme teto anterior, sem preço atual confirmado.</x:v>
      </x:c>
      <x:c r="K85" s="35" t="str"/>
      <x:c r="L85" s="30" t="str">
        <x:v>Projeto: 01_Projeto/Avanco_pendencias_2026-10-21/Orcamento/Mapa_orcamento_comparavel_R42.csv + consolidação R43</x:v>
      </x:c>
    </x:row>
    <x:row r="86" ht="58" customHeight="1">
      <x:c r="A86" s="36" t="str">
        <x:v>H05</x:v>
      </x:c>
      <x:c r="B86" s="36" t="str">
        <x:v>Louças e metais</x:v>
      </x:c>
      <x:c r="C86" s="36" t="str">
        <x:v>Banheiro</x:v>
      </x:c>
      <x:c r="D86" s="36" t="str">
        <x:v>Chuveiro Addra Livo Black BRS2003-BK</x:v>
      </x:c>
      <x:c r="E86" s="37" t="n">
        <x:v>1</x:v>
      </x:c>
      <x:c r="F86" s="38" t="str">
        <x:v>conj.</x:v>
      </x:c>
      <x:c r="G86" s="39" t="n">
        <x:v>700</x:v>
      </x:c>
      <x:c r="H86" s="40" t="n">
        <x:f>ROUND(E86*G86,2)</x:f>
        <x:v>700</x:v>
      </x:c>
      <x:c r="I86" s="36" t="str">
        <x:v>Estimativa</x:v>
      </x:c>
      <x:c r="J86" s="36" t="str">
        <x:v>Conjunto com ducha manual; referência histórica ~R$593,28, atual não confirmada.</x:v>
      </x:c>
      <x:c r="K86" s="35" t="str"/>
      <x:c r="L86" s="30" t="str">
        <x:v>Projeto: 01_Projeto/Avanco_pendencias_2026-10-21/Orcamento/Mapa_orcamento_comparavel_R42.csv + consolidação R43</x:v>
      </x:c>
    </x:row>
    <x:row r="87" ht="58" customHeight="1">
      <x:c r="A87" s="41" t="str">
        <x:v>H06</x:v>
      </x:c>
      <x:c r="B87" s="41" t="str">
        <x:v>Louças e metais</x:v>
      </x:c>
      <x:c r="C87" s="41" t="str">
        <x:v>Áreas molhadas</x:v>
      </x:c>
      <x:c r="D87" s="41" t="str">
        <x:v>Válvulas faltantes, sifões, engates e fixações</x:v>
      </x:c>
      <x:c r="E87" s="42" t="n">
        <x:v>1</x:v>
      </x:c>
      <x:c r="F87" s="43" t="str">
        <x:v>verba</x:v>
      </x:c>
      <x:c r="G87" s="44" t="n">
        <x:v>550</x:v>
      </x:c>
      <x:c r="H87" s="45" t="n">
        <x:f>ROUND(E87*G87,2)</x:f>
        <x:v>550</x:v>
      </x:c>
      <x:c r="I87" s="41" t="str">
        <x:v>Estimativa</x:v>
      </x:c>
      <x:c r="J87" s="41" t="str">
        <x:v>Sem válvula Dora nem flexíveis já fornecidos nas torneiras. Instalação em I03.</x:v>
      </x:c>
      <x:c r="K87" s="35" t="str"/>
      <x:c r="L87" s="30" t="str">
        <x:v>Projeto: 01_Projeto/Avanco_pendencias_2026-10-21/Orcamento/Mapa_orcamento_comparavel_R42.csv + consolidação R43</x:v>
      </x:c>
    </x:row>
    <x:row r="88" ht="58" customHeight="1">
      <x:c r="A88" s="36" t="str">
        <x:v>H07</x:v>
      </x:c>
      <x:c r="B88" s="36" t="str">
        <x:v>Louças e metais</x:v>
      </x:c>
      <x:c r="C88" s="36" t="str">
        <x:v>Lavanderia</x:v>
      </x:c>
      <x:c r="D88" s="36" t="str">
        <x:v>Torneira Telca Flex preta 1571531402</x:v>
      </x:c>
      <x:c r="E88" s="37" t="n">
        <x:v>1</x:v>
      </x:c>
      <x:c r="F88" s="38" t="str">
        <x:v>un.</x:v>
      </x:c>
      <x:c r="G88" s="39" t="n">
        <x:v>300</x:v>
      </x:c>
      <x:c r="H88" s="40" t="n">
        <x:f>ROUND(E88*G88,2)</x:f>
        <x:v>300</x:v>
      </x:c>
      <x:c r="I88" s="36" t="str">
        <x:v>Estimativa</x:v>
      </x:c>
      <x:c r="J88" s="36" t="str">
        <x:v>Referência histórica R$245,88; verba arredondada. Curso da mangueira a validar.</x:v>
      </x:c>
      <x:c r="K88" s="35" t="str"/>
      <x:c r="L88" s="30" t="str">
        <x:v>https://www.leroymerlin.com.br/torneira-misturador-lavatorio-flex-monocomando-preto_1571531402</x:v>
      </x:c>
    </x:row>
    <x:row r="89" ht="58" customHeight="1">
      <x:c r="A89" s="41" t="str">
        <x:v>H08</x:v>
      </x:c>
      <x:c r="B89" s="41" t="str">
        <x:v>Louças e metais</x:v>
      </x:c>
      <x:c r="C89" s="41" t="str">
        <x:v>Banheiro</x:v>
      </x:c>
      <x:c r="D89" s="41" t="str">
        <x:v>Ducha higiênica quente/fria preta</x:v>
      </x:c>
      <x:c r="E89" s="42" t="n">
        <x:v>1</x:v>
      </x:c>
      <x:c r="F89" s="43" t="str">
        <x:v>conj.</x:v>
      </x:c>
      <x:c r="G89" s="44" t="n">
        <x:v>450</x:v>
      </x:c>
      <x:c r="H89" s="45" t="n">
        <x:f>ROUND(E89*G89,2)</x:f>
        <x:v>450</x:v>
      </x:c>
      <x:c r="I89" s="41" t="str">
        <x:v>Estimativa</x:v>
      </x:c>
      <x:c r="J89" s="41" t="str">
        <x:v>Modelo não fechado; derivação de água quente em I04.</x:v>
      </x:c>
      <x:c r="K89" s="35" t="str"/>
      <x:c r="L89" s="30" t="str">
        <x:v>Projeto: 01_Projeto/Avanco_pendencias_2026-10-21/Orcamento/Mapa_orcamento_comparavel_R42.csv + consolidação R43</x:v>
      </x:c>
    </x:row>
    <x:row r="90" ht="58" customHeight="1">
      <x:c r="A90" s="36" t="str">
        <x:v>H09</x:v>
      </x:c>
      <x:c r="B90" s="36" t="str">
        <x:v>Louças e metais</x:v>
      </x:c>
      <x:c r="C90" s="36" t="str">
        <x:v>Banheiro</x:v>
      </x:c>
      <x:c r="D90" s="36" t="str">
        <x:v>Acabamentos de registros pretos</x:v>
      </x:c>
      <x:c r="E90" s="37" t="n">
        <x:v>1</x:v>
      </x:c>
      <x:c r="F90" s="38" t="str">
        <x:v>conj.</x:v>
      </x:c>
      <x:c r="G90" s="39" t="n">
        <x:v>350</x:v>
      </x:c>
      <x:c r="H90" s="40" t="n">
        <x:f>ROUND(E90*G90,2)</x:f>
        <x:v>350</x:v>
      </x:c>
      <x:c r="I90" s="36" t="str">
        <x:v>Estimativa</x:v>
      </x:c>
      <x:c r="J90" s="36" t="str">
        <x:v>Compatibilidade com bases entregues pendente.</x:v>
      </x:c>
      <x:c r="K90" s="35" t="str"/>
      <x:c r="L90" s="30" t="str">
        <x:v>Projeto: 01_Projeto/Avanco_pendencias_2026-10-21/Orcamento/Mapa_orcamento_comparavel_R42.csv + consolidação R43</x:v>
      </x:c>
    </x:row>
    <x:row r="91" ht="58" customHeight="1">
      <x:c r="A91" s="41" t="str">
        <x:v>H10</x:v>
      </x:c>
      <x:c r="B91" s="41" t="str">
        <x:v>Louças e metais</x:v>
      </x:c>
      <x:c r="C91" s="41" t="str">
        <x:v>Banheiro</x:v>
      </x:c>
      <x:c r="D91" s="41" t="str">
        <x:v>Toalheiros, papeleira e ganchos fixos</x:v>
      </x:c>
      <x:c r="E91" s="42" t="n">
        <x:v>1</x:v>
      </x:c>
      <x:c r="F91" s="43" t="str">
        <x:v>conj.</x:v>
      </x:c>
      <x:c r="G91" s="44" t="n">
        <x:v>350</x:v>
      </x:c>
      <x:c r="H91" s="45" t="n">
        <x:f>ROUND(E91*G91,2)</x:f>
        <x:v>350</x:v>
      </x:c>
      <x:c r="I91" s="41" t="str">
        <x:v>Estimativa</x:v>
      </x:c>
      <x:c r="J91" s="41" t="str">
        <x:v>Somente acessórios fixados ao imóvel; sem toalhas, utensílios ou objetos soltos.</x:v>
      </x:c>
      <x:c r="K91" s="35" t="str"/>
      <x:c r="L91" s="30" t="str">
        <x:v>Projeto: 01_Projeto/Avanco_pendencias_2026-10-21/Orcamento/Mapa_orcamento_comparavel_R42.csv + consolidação R43</x:v>
      </x:c>
    </x:row>
    <x:row r="92" ht="58" customHeight="1">
      <x:c r="A92" s="36" t="str">
        <x:v>L01</x:v>
      </x:c>
      <x:c r="B92" s="36" t="str">
        <x:v>Iluminação</x:v>
      </x:c>
      <x:c r="C92" s="36" t="str">
        <x:v>Sala</x:v>
      </x:c>
      <x:c r="D92" s="36" t="str">
        <x:v>Pendente linear preto regulável</x:v>
      </x:c>
      <x:c r="E92" s="37" t="n">
        <x:v>1</x:v>
      </x:c>
      <x:c r="F92" s="38" t="str">
        <x:v>un.</x:v>
      </x:c>
      <x:c r="G92" s="39" t="n">
        <x:v>450</x:v>
      </x:c>
      <x:c r="H92" s="40" t="n">
        <x:f>ROUND(E92*G92,2)</x:f>
        <x:v>450</x:v>
      </x:c>
      <x:c r="I92" s="36" t="str">
        <x:v>Estimativa</x:v>
      </x:c>
      <x:c r="J92" s="36" t="str">
        <x:v>Verba estimada para fornecimento instalado; cotar com o escopo vigente.</x:v>
      </x:c>
      <x:c r="K92" s="35" t="str"/>
      <x:c r="L92" s="30" t="str">
        <x:v>Projeto: 01_Projeto/Avanco_pendencias_2026-10-21/Orcamento/Mapa_orcamento_comparavel_R42.csv + consolidação R43</x:v>
      </x:c>
    </x:row>
    <x:row r="93" ht="58" customHeight="1">
      <x:c r="A93" s="41" t="str">
        <x:v>L02</x:v>
      </x:c>
      <x:c r="B93" s="41" t="str">
        <x:v>Iluminação</x:v>
      </x:c>
      <x:c r="C93" s="41" t="str">
        <x:v>Sala / quarto / escritório</x:v>
      </x:c>
      <x:c r="D93" s="41" t="str">
        <x:v>Plafons principais, escritório inteligente</x:v>
      </x:c>
      <x:c r="E93" s="42" t="n">
        <x:v>3</x:v>
      </x:c>
      <x:c r="F93" s="43" t="str">
        <x:v>un.</x:v>
      </x:c>
      <x:c r="G93" s="44" t="n">
        <x:v>250</x:v>
      </x:c>
      <x:c r="H93" s="45" t="n">
        <x:f>ROUND(E93*G93,2)</x:f>
        <x:v>750</x:v>
      </x:c>
      <x:c r="I93" s="41" t="str">
        <x:v>Estimativa</x:v>
      </x:c>
      <x:c r="J93" s="41" t="str">
        <x:v>Verba de luminárias; quantidade final depende de projeto luminotécnico.</x:v>
      </x:c>
      <x:c r="K93" s="35" t="str"/>
      <x:c r="L93" s="30" t="str">
        <x:v>Projeto: 01_Projeto/Avanco_pendencias_2026-10-21/Orcamento/Mapa_orcamento_comparavel_R42.csv + consolidação R43</x:v>
      </x:c>
    </x:row>
    <x:row r="94" ht="58" customHeight="1">
      <x:c r="A94" s="36" t="str">
        <x:v>L03</x:v>
      </x:c>
      <x:c r="B94" s="36" t="str">
        <x:v>Iluminação</x:v>
      </x:c>
      <x:c r="C94" s="36" t="str">
        <x:v>Cozinha</x:v>
      </x:c>
      <x:c r="D94" s="36" t="str">
        <x:v>Plafon quadrado branco 3000 K</x:v>
      </x:c>
      <x:c r="E94" s="37" t="n">
        <x:v>1</x:v>
      </x:c>
      <x:c r="F94" s="38" t="str">
        <x:v>un.</x:v>
      </x:c>
      <x:c r="G94" s="39" t="n">
        <x:v>260</x:v>
      </x:c>
      <x:c r="H94" s="40" t="n">
        <x:f>ROUND(E94*G94,2)</x:f>
        <x:v>260</x:v>
      </x:c>
      <x:c r="I94" s="36" t="str">
        <x:v>Estimativa</x:v>
      </x:c>
      <x:c r="J94" s="36" t="str">
        <x:v>Referência Stella EVO STH21967/30; preço histórico R$252.</x:v>
      </x:c>
      <x:c r="K94" s="35" t="str"/>
      <x:c r="L94" s="30" t="str">
        <x:v>Projeto: 01_Projeto/Iluminacao/Cozinha_lavanderia_selecao_R01_2026-09-27.md</x:v>
      </x:c>
    </x:row>
    <x:row r="95" ht="58" customHeight="1">
      <x:c r="A95" s="41" t="str">
        <x:v>L04</x:v>
      </x:c>
      <x:c r="B95" s="41" t="str">
        <x:v>Iluminação</x:v>
      </x:c>
      <x:c r="C95" s="41" t="str">
        <x:v>Lavanderia / banheiro</x:v>
      </x:c>
      <x:c r="D95" s="41" t="str">
        <x:v>Plafons apropriados às áreas úmidas</x:v>
      </x:c>
      <x:c r="E95" s="42" t="n">
        <x:v>2</x:v>
      </x:c>
      <x:c r="F95" s="43" t="str">
        <x:v>un.</x:v>
      </x:c>
      <x:c r="G95" s="44" t="n">
        <x:v>120</x:v>
      </x:c>
      <x:c r="H95" s="45" t="n">
        <x:f>ROUND(E95*G95,2)</x:f>
        <x:v>240</x:v>
      </x:c>
      <x:c r="I95" s="41" t="str">
        <x:v>Estimativa</x:v>
      </x:c>
      <x:c r="J95" s="41" t="str">
        <x:v>Verba estimada para fornecimento instalado; cotar com o escopo vigente.</x:v>
      </x:c>
      <x:c r="K95" s="35" t="str"/>
      <x:c r="L95" s="30" t="str">
        <x:v>Projeto: 01_Projeto/Avanco_pendencias_2026-10-21/Orcamento/Mapa_orcamento_comparavel_R42.csv + consolidação R43</x:v>
      </x:c>
    </x:row>
    <x:row r="96" ht="58" customHeight="1">
      <x:c r="A96" s="36" t="str">
        <x:v>L05</x:v>
      </x:c>
      <x:c r="B96" s="36" t="str">
        <x:v>Iluminação</x:v>
      </x:c>
      <x:c r="C96" s="36" t="str">
        <x:v>Banheiro</x:v>
      </x:c>
      <x:c r="D96" s="36" t="str">
        <x:v>Luz frontal do espelho</x:v>
      </x:c>
      <x:c r="E96" s="37" t="n">
        <x:v>2</x:v>
      </x:c>
      <x:c r="F96" s="38" t="str">
        <x:v>un.</x:v>
      </x:c>
      <x:c r="G96" s="39" t="n">
        <x:v>150</x:v>
      </x:c>
      <x:c r="H96" s="40" t="n">
        <x:f>ROUND(E96*G96,2)</x:f>
        <x:v>300</x:v>
      </x:c>
      <x:c r="I96" s="36" t="str">
        <x:v>Estimativa</x:v>
      </x:c>
      <x:c r="J96" s="36" t="str">
        <x:v>Referência 4000 K; não duplica espelho incluído em P19.</x:v>
      </x:c>
      <x:c r="K96" s="35" t="str"/>
      <x:c r="L96" s="30" t="str">
        <x:v>Projeto: 01_Projeto/Avanco_pendencias_2026-10-21/Orcamento/Mapa_orcamento_comparavel_R42.csv + consolidação R43</x:v>
      </x:c>
    </x:row>
    <x:row r="97" ht="58" customHeight="1">
      <x:c r="A97" s="41" t="str">
        <x:v>L06</x:v>
      </x:c>
      <x:c r="B97" s="41" t="str">
        <x:v>Iluminação</x:v>
      </x:c>
      <x:c r="C97" s="41" t="str">
        <x:v>Geral</x:v>
      </x:c>
      <x:c r="D97" s="41" t="str">
        <x:v>Perfis, fitas LED, fontes e controle</x:v>
      </x:c>
      <x:c r="E97" s="42" t="n">
        <x:v>1</x:v>
      </x:c>
      <x:c r="F97" s="43" t="str">
        <x:v>conj.</x:v>
      </x:c>
      <x:c r="G97" s="44" t="n">
        <x:v>1300</x:v>
      </x:c>
      <x:c r="H97" s="45" t="n">
        <x:f>ROUND(E97*G97,2)</x:f>
        <x:v>1300</x:v>
      </x:c>
      <x:c r="I97" s="41" t="str">
        <x:v>Estimativa</x:v>
      </x:c>
      <x:c r="J97" s="41" t="str">
        <x:v>Verba cozinha/cabeceira/espelho; levantamento de comprimentos ainda pendente. Instalação em I01.</x:v>
      </x:c>
      <x:c r="K97" s="35" t="str"/>
      <x:c r="L97" s="30" t="str">
        <x:v>Projeto: 01_Projeto/Avanco_pendencias_2026-10-21/Orcamento/Mapa_orcamento_comparavel_R42.csv + consolidação R43</x:v>
      </x:c>
    </x:row>
    <x:row r="98" ht="58" customHeight="1">
      <x:c r="A98" s="36" t="str">
        <x:v>L07</x:v>
      </x:c>
      <x:c r="B98" s="36" t="str">
        <x:v>Iluminação</x:v>
      </x:c>
      <x:c r="C98" s="36" t="str">
        <x:v>Quarto</x:v>
      </x:c>
      <x:c r="D98" s="36" t="str">
        <x:v>Luzes de leitura</x:v>
      </x:c>
      <x:c r="E98" s="37" t="n">
        <x:v>2</x:v>
      </x:c>
      <x:c r="F98" s="38" t="str">
        <x:v>un.</x:v>
      </x:c>
      <x:c r="G98" s="39" t="n">
        <x:v>120</x:v>
      </x:c>
      <x:c r="H98" s="40" t="n">
        <x:f>ROUND(E98*G98,2)</x:f>
        <x:v>240</x:v>
      </x:c>
      <x:c r="I98" s="36" t="str">
        <x:v>Estimativa</x:v>
      </x:c>
      <x:c r="J98" s="36" t="str">
        <x:v>Verba estimada para fornecimento instalado; cotar com o escopo vigente.</x:v>
      </x:c>
      <x:c r="K98" s="35" t="str"/>
      <x:c r="L98" s="30" t="str">
        <x:v>Projeto: 01_Projeto/Avanco_pendencias_2026-10-21/Orcamento/Mapa_orcamento_comparavel_R42.csv + consolidação R43</x:v>
      </x:c>
    </x:row>
    <x:row r="99" ht="58" customHeight="1">
      <x:c r="A99" s="41" t="str">
        <x:v>A01</x:v>
      </x:c>
      <x:c r="B99" s="41" t="str">
        <x:v>Complementos fixos</x:v>
      </x:c>
      <x:c r="C99" s="41" t="str">
        <x:v>Lavanderia</x:v>
      </x:c>
      <x:c r="D99" s="41" t="str">
        <x:v>Varal manual de quadro inteiro 100 × 50 cm</x:v>
      </x:c>
      <x:c r="E99" s="42" t="n">
        <x:v>1</x:v>
      </x:c>
      <x:c r="F99" s="43" t="str">
        <x:v>conj.</x:v>
      </x:c>
      <x:c r="G99" s="44" t="n">
        <x:v>350</x:v>
      </x:c>
      <x:c r="H99" s="45" t="n">
        <x:f>ROUND(E99*G99,2)</x:f>
        <x:v>350</x:v>
      </x:c>
      <x:c r="I99" s="41" t="str">
        <x:v>Estimativa</x:v>
      </x:c>
      <x:c r="J99" s="41" t="str">
        <x:v>Inclui montagem e fixação validada; sem painel de madeira adicional.</x:v>
      </x:c>
      <x:c r="K99" s="35" t="str"/>
      <x:c r="L99" s="30" t="str">
        <x:v>Projeto: 01_Projeto/Avanco_pendencias_2026-10-21/Orcamento/Mapa_orcamento_comparavel_R42.csv + consolidação R43</x:v>
      </x:c>
    </x:row>
    <x:row r="100" ht="58" customHeight="1">
      <x:c r="A100" s="36" t="str">
        <x:v>A02</x:v>
      </x:c>
      <x:c r="B100" s="36" t="str">
        <x:v>Complementos fixos</x:v>
      </x:c>
      <x:c r="C100" s="36" t="str">
        <x:v>Sala / escritório</x:v>
      </x:c>
      <x:c r="D100" s="36" t="str">
        <x:v>Suportes das duas TVs e instalação</x:v>
      </x:c>
      <x:c r="E100" s="37" t="n">
        <x:v>2</x:v>
      </x:c>
      <x:c r="F100" s="38" t="str">
        <x:v>conj.</x:v>
      </x:c>
      <x:c r="G100" s="39" t="n">
        <x:v>200</x:v>
      </x:c>
      <x:c r="H100" s="40" t="n">
        <x:f>ROUND(E100*G100,2)</x:f>
        <x:v>400</x:v>
      </x:c>
      <x:c r="I100" s="36" t="str">
        <x:v>Estimativa</x:v>
      </x:c>
      <x:c r="J100" s="36" t="str">
        <x:v>Uma TV nova e uma existente; não inclui aquisição da TV existente.</x:v>
      </x:c>
      <x:c r="K100" s="35" t="str"/>
      <x:c r="L100" s="30" t="str">
        <x:v>Projeto: 01_Projeto/Avanco_pendencias_2026-10-21/Orcamento/Mapa_orcamento_comparavel_R42.csv + consolidação R43</x:v>
      </x:c>
    </x:row>
    <x:row r="101" ht="58" customHeight="1">
      <x:c r="A101" s="41" t="str">
        <x:v>G01</x:v>
      </x:c>
      <x:c r="B101" s="41" t="str">
        <x:v>Coordenação e logística</x:v>
      </x:c>
      <x:c r="C101" s="41" t="str">
        <x:v>Geral</x:v>
      </x:c>
      <x:c r="D101" s="41" t="str">
        <x:v>Projeto executivo, compatibilização e acompanhamento</x:v>
      </x:c>
      <x:c r="E101" s="42" t="n">
        <x:v>1</x:v>
      </x:c>
      <x:c r="F101" s="43" t="str">
        <x:v>verba</x:v>
      </x:c>
      <x:c r="G101" s="44" t="n">
        <x:v>4500</x:v>
      </x:c>
      <x:c r="H101" s="45" t="n">
        <x:f>ROUND(E101*G101,2)</x:f>
        <x:v>4500</x:v>
      </x:c>
      <x:c r="I101" s="41" t="str">
        <x:v>Estimativa</x:v>
      </x:c>
      <x:c r="J101" s="41" t="str">
        <x:v>Escopo compacto de reforma, visitas e responsabilidade técnica; não duplica medição/fabricação do marceneiro. Honorário ainda não cotado.</x:v>
      </x:c>
      <x:c r="K101" s="35" t="str"/>
      <x:c r="L101" s="30" t="str">
        <x:v>Projeto: 01_Projeto/Avanco_pendencias_2026-10-21/Orcamento/Mapa_orcamento_comparavel_R42.csv + consolidação R43</x:v>
      </x:c>
    </x:row>
    <x:row r="102" ht="58" customHeight="1">
      <x:c r="A102" s="36" t="str">
        <x:v>G02</x:v>
      </x:c>
      <x:c r="B102" s="36" t="str">
        <x:v>Coordenação e logística</x:v>
      </x:c>
      <x:c r="C102" s="36" t="str">
        <x:v>Geral</x:v>
      </x:c>
      <x:c r="D102" s="36" t="str">
        <x:v>Fretes de varejo e montagem de móveis prontos</x:v>
      </x:c>
      <x:c r="E102" s="37" t="n">
        <x:v>1</x:v>
      </x:c>
      <x:c r="F102" s="38" t="str">
        <x:v>verba</x:v>
      </x:c>
      <x:c r="G102" s="39" t="n">
        <x:v>1800</x:v>
      </x:c>
      <x:c r="H102" s="40" t="n">
        <x:f>ROUND(E102*G102,2)</x:f>
        <x:v>1800</x:v>
      </x:c>
      <x:c r="I102" s="36" t="str">
        <x:v>Estimativa</x:v>
      </x:c>
      <x:c r="J102" s="36" t="str">
        <x:v>Somente produtos de varejo; fretes de marcenaria/pedras/box/cortinas já incluídos. Sem CEP simulado nem içamento.</x:v>
      </x:c>
      <x:c r="K102" s="35" t="str"/>
      <x:c r="L102" s="30" t="str">
        <x:v>Projeto: 01_Projeto/Avanco_pendencias_2026-10-21/Orcamento/Mapa_orcamento_comparavel_R42.csv + consolidação R43</x:v>
      </x:c>
    </x:row>
    <x:row r="103" ht="58" customHeight="1">
      <x:c r="A103" s="41" t="str">
        <x:v>G03</x:v>
      </x:c>
      <x:c r="B103" s="41" t="str">
        <x:v>Coordenação e logística</x:v>
      </x:c>
      <x:c r="C103" s="41" t="str">
        <x:v>Geral</x:v>
      </x:c>
      <x:c r="D103" s="41" t="str">
        <x:v>Limpeza pós-obra</x:v>
      </x:c>
      <x:c r="E103" s="42" t="n">
        <x:v>1</x:v>
      </x:c>
      <x:c r="F103" s="43" t="str">
        <x:v>verba</x:v>
      </x:c>
      <x:c r="G103" s="44" t="n">
        <x:v>650</x:v>
      </x:c>
      <x:c r="H103" s="45" t="n">
        <x:f>ROUND(E103*G103,2)</x:f>
        <x:v>650</x:v>
      </x:c>
      <x:c r="I103" s="41" t="str">
        <x:v>Estimativa</x:v>
      </x:c>
      <x:c r="J103" s="41" t="str">
        <x:v>Verba estimada para fornecimento instalado; cotar com o escopo vigente.</x:v>
      </x:c>
      <x:c r="K103" s="35" t="str"/>
      <x:c r="L103" s="30" t="str">
        <x:v>Projeto: 01_Projeto/Avanco_pendencias_2026-10-21/Orcamento/Mapa_orcamento_comparavel_R42.csv + consolidação R43</x:v>
      </x:c>
    </x:row>
    <x:row r="104" ht="58" customHeight="1">
      <x:c r="A104" s="36" t="str">
        <x:v>G04</x:v>
      </x:c>
      <x:c r="B104" s="36" t="str">
        <x:v>Coordenação e logística</x:v>
      </x:c>
      <x:c r="C104" s="36" t="str">
        <x:v>Geral</x:v>
      </x:c>
      <x:c r="D104" s="36" t="str">
        <x:v>Mudança dos bens existentes</x:v>
      </x:c>
      <x:c r="E104" s="37" t="n">
        <x:v>1</x:v>
      </x:c>
      <x:c r="F104" s="38" t="str">
        <x:v>verba</x:v>
      </x:c>
      <x:c r="G104" s="39" t="n">
        <x:v>900</x:v>
      </x:c>
      <x:c r="H104" s="40" t="n">
        <x:f>ROUND(E104*G104,2)</x:f>
        <x:v>900</x:v>
      </x:c>
      <x:c r="I104" s="36" t="str">
        <x:v>Estimativa</x:v>
      </x:c>
      <x:c r="J104" s="36" t="str">
        <x:v>Transporte local simples; aquisição dos bens não incluída.</x:v>
      </x:c>
      <x:c r="K104" s="35" t="str"/>
      <x:c r="L104" s="30" t="str">
        <x:v>Projeto: 01_Projeto/Avanco_pendencias_2026-10-21/Orcamento/Mapa_orcamento_comparavel_R42.csv + consolidação R43</x:v>
      </x:c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048f42702b1f4434"/>
  </x:tableParts>
</x:worksheet>
</file>