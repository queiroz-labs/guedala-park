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36a3a75a7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73c3eed806349ca"/>
    <x:sheet xmlns:r="http://schemas.openxmlformats.org/officeDocument/2006/relationships" name="Modulos" sheetId="2" r:id="Rc6bd68bfe87b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;(&quot;R$&quot; #,##0);&quot;–&quot;"/>
  </x:numFmts>
  <x:fonts count="9">
    <x:font>
      <x:sz val="11"/>
      <x:name val="Carlito"/>
    </x:font>
    <x:font>
      <x:sz val="11"/>
      <x:name val="Arial"/>
    </x:font>
    <x:font>
      <x:sz val="18"/>
      <x:name val="Arial"/>
    </x:font>
    <x:font>
      <x:b/>
      <x:sz val="18"/>
      <x:name val="Arial"/>
    </x:font>
    <x:font>
      <x:b/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165BC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AE7"/>
      </x:patternFill>
    </x:fill>
    <x:fill>
      <x:patternFill patternType="solid">
        <x:fgColor rgb="FFFFF2CD"/>
      </x:patternFill>
    </x:fill>
    <x:fill>
      <x:patternFill patternType="solid">
        <x:fgColor rgb="FF294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962a5decb4b2a" /><Relationship Type="http://schemas.openxmlformats.org/officeDocument/2006/relationships/theme" Target="/xl/theme/theme1.xml" Id="Rfd813fc9e4e94f03" /><Relationship Type="http://schemas.openxmlformats.org/officeDocument/2006/relationships/sharedStrings" Target="/xl/sharedStrings.xml" Id="R296e0933fbe44f93" /><Relationship Type="http://schemas.openxmlformats.org/officeDocument/2006/relationships/worksheet" Target="/xl/worksheets/sheet1.xml" Id="Ra73c3eed806349ca" /><Relationship Type="http://schemas.openxmlformats.org/officeDocument/2006/relationships/worksheet" Target="/xl/worksheets/sheet2.xml" Id="Rc6bd68bfe87b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4" t="str">
        <x:v>MARCENARIA R43 | META DE COTAÇÃO: R$ 35 MIL</x:v>
      </x:c>
      <x:c r="B2" s="2"/>
      <x:c r="C2" s="2"/>
      <x:c r="D2" s="2"/>
      <x:c r="E2" s="2"/>
      <x:c r="F2" s="2"/>
      <x:c r="G2" s="2"/>
    </x:row>
    <x:row r="3" ht="23" customHeight="1">
      <x:c r="A3" s="2" t="str">
        <x:v>22/10/2026 • interiores brancos aprovados • cores aparentes e armazenamento preservados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 t="str">
        <x:v>Estimativa anterior (não era cotação)</x:v>
      </x:c>
      <x:c r="B5" s="2"/>
      <x:c r="C5" s="2"/>
      <x:c r="D5" s="2"/>
      <x:c r="E5" s="6" t="n">
        <x:f>SUM('Modulos'!D6:D31)</x:f>
        <x:v>46550</x:v>
      </x:c>
      <x:c r="F5" s="2"/>
      <x:c r="G5" s="2"/>
    </x:row>
    <x:row r="6" ht="23" customHeight="1">
      <x:c r="A6" s="7" t="str">
        <x:v>Verbas-meta por módulo, completo instalado</x:v>
      </x:c>
      <x:c r="B6" s="7"/>
      <x:c r="C6" s="7"/>
      <x:c r="D6" s="7"/>
      <x:c r="E6" s="8" t="n">
        <x:f>SUM('Modulos'!E6:E31)</x:f>
        <x:v>35000</x:v>
      </x:c>
      <x:c r="F6" s="7"/>
      <x:c r="G6" s="2"/>
    </x:row>
    <x:row r="7" ht="23" customHeight="1">
      <x:c r="A7" s="2" t="str">
        <x:v>Redução necessária, ainda não obtida</x:v>
      </x:c>
      <x:c r="B7" s="2"/>
      <x:c r="C7" s="2"/>
      <x:c r="D7" s="2"/>
      <x:c r="E7" s="6" t="n">
        <x:f>E5-E6</x:f>
        <x:v>11550</x:v>
      </x:c>
      <x:c r="F7" s="2"/>
      <x:c r="G7" s="2"/>
    </x:row>
    <x:row r="8" ht="23" customHeight="1">
      <x:c r="A8" s="2"/>
      <x:c r="B8" s="2"/>
      <x:c r="C8" s="2"/>
      <x:c r="D8" s="2"/>
      <x:c r="E8" s="2"/>
      <x:c r="F8" s="2"/>
      <x:c r="G8" s="2"/>
    </x:row>
    <x:row r="9" ht="23" customHeight="1">
      <x:c r="A9" s="9" t="str">
        <x:v>Ambiente</x:v>
      </x:c>
      <x:c r="B9" s="9"/>
      <x:c r="C9" s="9"/>
      <x:c r="D9" s="9" t="str">
        <x:v>Anterior</x:v>
      </x:c>
      <x:c r="E9" s="9" t="str">
        <x:v>Meta</x:v>
      </x:c>
      <x:c r="F9" s="9" t="str">
        <x:v>Redução-alvo</x:v>
      </x:c>
      <x:c r="G9" s="2"/>
    </x:row>
    <x:row r="10" ht="23" customHeight="1">
      <x:c r="A10" s="2" t="str">
        <x:v>Quarto</x:v>
      </x:c>
      <x:c r="B10" s="2"/>
      <x:c r="C10" s="2"/>
      <x:c r="D10" s="6" t="n">
        <x:f>SUMIF('Modulos'!$B$6:$B$31,A10,'Modulos'!$D$6:$D$31)</x:f>
        <x:v>12800</x:v>
      </x:c>
      <x:c r="E10" s="6" t="n">
        <x:f>SUMIF('Modulos'!$B$6:$B$31,A10,'Modulos'!$E$6:$E$31)</x:f>
        <x:v>9350</x:v>
      </x:c>
      <x:c r="F10" s="6" t="n">
        <x:f>SUMIF('Modulos'!$B$6:$B$31,A10,'Modulos'!$F$6:$F$31)</x:f>
        <x:v>3450</x:v>
      </x:c>
      <x:c r="G10" s="2"/>
    </x:row>
    <x:row r="11" ht="23" customHeight="1">
      <x:c r="A11" s="2" t="str">
        <x:v>Cozinha</x:v>
      </x:c>
      <x:c r="B11" s="2"/>
      <x:c r="C11" s="2"/>
      <x:c r="D11" s="6" t="n">
        <x:f>SUMIF('Modulos'!$B$6:$B$31,A11,'Modulos'!$D$6:$D$31)</x:f>
        <x:v>12250</x:v>
      </x:c>
      <x:c r="E11" s="6" t="n">
        <x:f>SUMIF('Modulos'!$B$6:$B$31,A11,'Modulos'!$E$6:$E$31)</x:f>
        <x:v>9300</x:v>
      </x:c>
      <x:c r="F11" s="6" t="n">
        <x:f>SUMIF('Modulos'!$B$6:$B$31,A11,'Modulos'!$F$6:$F$31)</x:f>
        <x:v>2950</x:v>
      </x:c>
      <x:c r="G11" s="2"/>
    </x:row>
    <x:row r="12" ht="23" customHeight="1">
      <x:c r="A12" s="2" t="str">
        <x:v>Lavanderia</x:v>
      </x:c>
      <x:c r="B12" s="2"/>
      <x:c r="C12" s="2"/>
      <x:c r="D12" s="6" t="n">
        <x:f>SUMIF('Modulos'!$B$6:$B$31,A12,'Modulos'!$D$6:$D$31)</x:f>
        <x:v>3900</x:v>
      </x:c>
      <x:c r="E12" s="6" t="n">
        <x:f>SUMIF('Modulos'!$B$6:$B$31,A12,'Modulos'!$E$6:$E$31)</x:f>
        <x:v>3100</x:v>
      </x:c>
      <x:c r="F12" s="6" t="n">
        <x:f>SUMIF('Modulos'!$B$6:$B$31,A12,'Modulos'!$F$6:$F$31)</x:f>
        <x:v>800</x:v>
      </x:c>
      <x:c r="G12" s="2"/>
    </x:row>
    <x:row r="13" ht="23" customHeight="1">
      <x:c r="A13" s="2" t="str">
        <x:v>Escritório</x:v>
      </x:c>
      <x:c r="B13" s="2"/>
      <x:c r="C13" s="2"/>
      <x:c r="D13" s="6" t="n">
        <x:f>SUMIF('Modulos'!$B$6:$B$31,A13,'Modulos'!$D$6:$D$31)</x:f>
        <x:v>6800</x:v>
      </x:c>
      <x:c r="E13" s="6" t="n">
        <x:f>SUMIF('Modulos'!$B$6:$B$31,A13,'Modulos'!$E$6:$E$31)</x:f>
        <x:v>5000</x:v>
      </x:c>
      <x:c r="F13" s="6" t="n">
        <x:f>SUMIF('Modulos'!$B$6:$B$31,A13,'Modulos'!$F$6:$F$31)</x:f>
        <x:v>1800</x:v>
      </x:c>
      <x:c r="G13" s="2"/>
    </x:row>
    <x:row r="14" ht="23" customHeight="1">
      <x:c r="A14" s="2" t="str">
        <x:v>Banheiro</x:v>
      </x:c>
      <x:c r="B14" s="2"/>
      <x:c r="C14" s="2"/>
      <x:c r="D14" s="6" t="n">
        <x:f>SUMIF('Modulos'!$B$6:$B$31,A14,'Modulos'!$D$6:$D$31)</x:f>
        <x:v>3300</x:v>
      </x:c>
      <x:c r="E14" s="6" t="n">
        <x:f>SUMIF('Modulos'!$B$6:$B$31,A14,'Modulos'!$E$6:$E$31)</x:f>
        <x:v>2800</x:v>
      </x:c>
      <x:c r="F14" s="6" t="n">
        <x:f>SUMIF('Modulos'!$B$6:$B$31,A14,'Modulos'!$F$6:$F$31)</x:f>
        <x:v>500</x:v>
      </x:c>
      <x:c r="G14" s="2"/>
    </x:row>
    <x:row r="15" ht="23" customHeight="1">
      <x:c r="A15" s="2" t="str">
        <x:v>Sala</x:v>
      </x:c>
      <x:c r="B15" s="2"/>
      <x:c r="C15" s="2"/>
      <x:c r="D15" s="6" t="n">
        <x:f>SUMIF('Modulos'!$B$6:$B$31,A15,'Modulos'!$D$6:$D$31)</x:f>
        <x:v>6500</x:v>
      </x:c>
      <x:c r="E15" s="6" t="n">
        <x:f>SUMIF('Modulos'!$B$6:$B$31,A15,'Modulos'!$E$6:$E$31)</x:f>
        <x:v>4750</x:v>
      </x:c>
      <x:c r="F15" s="6" t="n">
        <x:f>SUMIF('Modulos'!$B$6:$B$31,A15,'Modulos'!$F$6:$F$31)</x:f>
        <x:v>1750</x:v>
      </x:c>
      <x:c r="G15" s="2"/>
    </x:row>
    <x:row r="16" ht="23" customHeight="1">
      <x:c r="A16" s="2" t="str">
        <x:v>Geral</x:v>
      </x:c>
      <x:c r="B16" s="2"/>
      <x:c r="C16" s="2"/>
      <x:c r="D16" s="6" t="n">
        <x:f>SUMIF('Modulos'!$B$6:$B$31,A16,'Modulos'!$D$6:$D$31)</x:f>
        <x:v>1000</x:v>
      </x:c>
      <x:c r="E16" s="6" t="n">
        <x:f>SUMIF('Modulos'!$B$6:$B$31,A16,'Modulos'!$E$6:$E$31)</x:f>
        <x:v>700</x:v>
      </x:c>
      <x:c r="F16" s="6" t="n">
        <x:f>SUMIF('Modulos'!$B$6:$B$31,A16,'Modulos'!$F$6:$F$31)</x:f>
        <x:v>300</x:v>
      </x:c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23" customHeight="1">
      <x:c r="A18" s="2" t="str">
        <x:v>Linhas com cotação preenchida / 26</x:v>
      </x:c>
      <x:c r="B18" s="2"/>
      <x:c r="C18" s="2"/>
      <x:c r="D18" s="2"/>
      <x:c r="E18" s="2" t="n">
        <x:f>COUNT('Modulos'!G6:G31)</x:f>
        <x:v>0</x:v>
      </x:c>
      <x:c r="F18" s="2"/>
      <x:c r="G18" s="2"/>
    </x:row>
    <x:row r="19" ht="23" customHeight="1">
      <x:c r="A19" s="2" t="str">
        <x:v>Total cotado (somente quando completo)</x:v>
      </x:c>
      <x:c r="B19" s="2"/>
      <x:c r="C19" s="2"/>
      <x:c r="D19" s="2"/>
      <x:c r="E19" s="6" t="str">
        <x:f>IF(COUNT('Modulos'!G6:G31)=26,SUM('Modulos'!G6:G31),"Pendente")</x:f>
        <x:v>Pendente</x:v>
      </x:c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5" t="str">
        <x:v>R$35 mil é o limite de contratação pretendido. Não há proposta recebida nem plano de corte executivo que comprove esse preço. Não usar os valores-meta como descontos confirmados.</x:v>
      </x:c>
      <x:c r="B21" s="5"/>
      <x:c r="C21" s="5"/>
      <x:c r="D21" s="5"/>
      <x:c r="E21" s="5"/>
      <x:c r="F21" s="5"/>
      <x:c r="G21" s="5"/>
    </x:row>
    <x:row r="22" ht="23" customHeight="1">
      <x:c r="A22" s="5"/>
      <x:c r="B22" s="5"/>
      <x:c r="C22" s="5"/>
      <x:c r="D22" s="5"/>
      <x:c r="E22" s="5"/>
      <x:c r="F22" s="5"/>
      <x:c r="G22" s="5"/>
    </x:row>
    <x:row r="23" ht="23" customHeight="1">
      <x:c r="A23" s="5"/>
      <x:c r="B23" s="5"/>
      <x:c r="C23" s="5"/>
      <x:c r="D23" s="5"/>
      <x:c r="E23" s="5"/>
      <x:c r="F23" s="5"/>
      <x:c r="G23" s="5"/>
    </x:row>
    <x:row r="24" ht="23" customHeight="1">
      <x:c r="A24" s="5" t="str">
        <x:v>Inclui 20 módulos + 6 complementos, ferragens, espelho do armário, estofamentos previstos, medição, fabricação, transporte, montagem e ajustes. Cada linha deve ser cotada com esse escopo.</x:v>
      </x:c>
      <x:c r="B24" s="5"/>
      <x:c r="C24" s="5"/>
      <x:c r="D24" s="5"/>
      <x:c r="E24" s="5"/>
      <x:c r="F24" s="5"/>
      <x:c r="G24" s="5"/>
    </x:row>
    <x:row r="25" ht="23" customHeight="1">
      <x:c r="A25" s="5"/>
      <x:c r="B25" s="5"/>
      <x:c r="C25" s="5"/>
      <x:c r="D25" s="5"/>
      <x:c r="E25" s="5"/>
      <x:c r="F25" s="5"/>
      <x:c r="G25" s="5"/>
    </x:row>
    <x:row r="26" ht="23" customHeight="1">
      <x:c r="A26" s="5"/>
      <x:c r="B26" s="5"/>
      <x:c r="C26" s="5"/>
      <x:c r="D26" s="5"/>
      <x:c r="E26" s="5"/>
      <x:c r="F26" s="5"/>
      <x:c r="G26" s="5"/>
    </x:row>
    <x:row r="27" ht="23" customHeight="1">
      <x:c r="A27" s="5" t="str">
        <x:v>Não inclui mesa/cadeiras prontas, pedras, box, aparelhos, luminárias ou obra: já estão em outros grupos do orçamento. Engates FGVTN, cesto, retenção do banco e ancoragens seguem para validação.</x:v>
      </x:c>
      <x:c r="B27" s="5"/>
      <x:c r="C27" s="5"/>
      <x:c r="D27" s="5"/>
      <x:c r="E27" s="5"/>
      <x:c r="F27" s="5"/>
      <x:c r="G27" s="5"/>
    </x:row>
    <x:row r="28" ht="23" customHeight="1">
      <x:c r="A28" s="5"/>
      <x:c r="B28" s="5"/>
      <x:c r="C28" s="5"/>
      <x:c r="D28" s="5"/>
      <x:c r="E28" s="5"/>
      <x:c r="F28" s="5"/>
      <x:c r="G28" s="5"/>
    </x:row>
    <x:row r="29" ht="23" customHeight="1">
      <x:c r="A29" s="5"/>
      <x:c r="B29" s="5"/>
      <x:c r="C29" s="5"/>
      <x:c r="D29" s="5"/>
      <x:c r="E29" s="5"/>
      <x:c r="F29" s="5"/>
      <x:c r="G29" s="5"/>
    </x:row>
    <x:row r="30" ht="23" customHeight="1">
      <x:c r="A30" s="5" t="str">
        <x:v>Conferência: leitura dos 20 módulos nominais da R43, sem modificar o CAD. Mantidos 9 pares de guias e a gaveta baixa separada; 52 dobradiças de referência após retirar as 4 antigas do banheiro.</x:v>
      </x:c>
      <x:c r="B30" s="5"/>
      <x:c r="C30" s="5"/>
      <x:c r="D30" s="5"/>
      <x:c r="E30" s="5"/>
      <x:c r="F30" s="5"/>
      <x:c r="G30" s="5"/>
    </x:row>
    <x:row r="31" ht="23" customHeight="1">
      <x:c r="A31" s="5"/>
      <x:c r="B31" s="5"/>
      <x:c r="C31" s="5"/>
      <x:c r="D31" s="5"/>
      <x:c r="E31" s="5"/>
      <x:c r="F31" s="5"/>
      <x:c r="G31" s="5"/>
    </x:row>
    <x:row r="32" ht="23" customHeight="1">
      <x:c r="A32" s="2"/>
      <x:c r="B32" s="2"/>
      <x:c r="C32" s="2"/>
      <x:c r="D32" s="2"/>
      <x:c r="E32" s="2"/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</x:sheetData>
  <x:mergeCells>
    <x:mergeCell ref="A2:G2"/>
    <x:mergeCell ref="A3:G3"/>
    <x:mergeCell ref="A5:D5"/>
    <x:mergeCell ref="A6:D6"/>
    <x:mergeCell ref="A7:D7"/>
    <x:mergeCell ref="A9:C9"/>
    <x:mergeCell ref="A10:C10"/>
    <x:mergeCell ref="A11:C11"/>
    <x:mergeCell ref="A12:C12"/>
    <x:mergeCell ref="A13:C13"/>
    <x:mergeCell ref="A14:C14"/>
    <x:mergeCell ref="A15:C15"/>
    <x:mergeCell ref="A16:C16"/>
    <x:mergeCell ref="A18:D18"/>
    <x:mergeCell ref="A19:D19"/>
    <x:mergeCell ref="A21:G22"/>
    <x:mergeCell ref="A24:G25"/>
    <x:mergeCell ref="A27:G28"/>
    <x:mergeCell ref="A30:G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53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1" hidden="0" customWidth="1"/>
    <x:col min="9" max="9" width="40" hidden="0" customWidth="1"/>
    <x:col min="10" max="10" width="3" hidden="0" customWidth="1"/>
    <x:col min="11" max="11" width="105" hidden="0" customWidth="1"/>
    <x:col min="12" max="12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1" t="str">
        <x:v>ESCOPO PARA COTAÇÃO | preços-meta não são preços de mercado comprovados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Azul = entradas editáveis. Preencher preço recebido e fornecedor/data em todas as linhas; zero somente se incluído em outra linha identificada.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7" t="str">
        <x:v>ID</x:v>
      </x:c>
      <x:c r="B5" s="17" t="str">
        <x:v>Ambiente</x:v>
      </x:c>
      <x:c r="C5" s="17" t="str">
        <x:v>Módulo / complemento</x:v>
      </x:c>
      <x:c r="D5" s="17" t="str">
        <x:v>Anterior</x:v>
      </x:c>
      <x:c r="E5" s="17" t="str">
        <x:v>Meta instalada</x:v>
      </x:c>
      <x:c r="F5" s="17" t="str">
        <x:v>Redução-alvo</x:v>
      </x:c>
      <x:c r="G5" s="17" t="str">
        <x:v>Cotação recebida</x:v>
      </x:c>
      <x:c r="H5" s="17" t="str">
        <x:v>Diferença da meta</x:v>
      </x:c>
      <x:c r="I5" s="17" t="str">
        <x:v>Fornecedor / data / inclusão</x:v>
      </x:c>
      <x:c r="J5" s="2" t="str"/>
      <x:c r="K5" s="2" t="str">
        <x:v>Diretriz de fabricação</x:v>
      </x:c>
      <x:c r="L5" s="2" t="str">
        <x:v>Base / origem</x:v>
      </x:c>
    </x:row>
    <x:row r="6" ht="31" customHeight="1">
      <x:c r="A6" s="2" t="str">
        <x:v>P01</x:v>
      </x:c>
      <x:c r="B6" s="2" t="str">
        <x:v>Quarto</x:v>
      </x:c>
      <x:c r="C6" s="5" t="str">
        <x:v>Roupeiro</x:v>
      </x:c>
      <x:c r="D6" s="6" t="n">
        <x:v>6800</x:v>
      </x:c>
      <x:c r="E6" s="12" t="n">
        <x:v>5000</x:v>
      </x:c>
      <x:c r="F6" s="6" t="n">
        <x:f>D6-E6</x:f>
        <x:v>1800</x:v>
      </x:c>
      <x:c r="G6" s="14"/>
      <x:c r="H6" s="6" t="str">
        <x:f>IF(G6="","",G6-E6)</x:f>
      </x:c>
      <x:c r="I6" s="13" t="str"/>
      <x:c r="J6" s="2" t="str"/>
      <x:c r="K6" s="2" t="str">
        <x:v>Branco nas peças internas ocultas; frentes/aparentes Arenza; 4 gavetas preservadas.</x:v>
      </x:c>
      <x:c r="L6" s="2" t="str">
        <x:v>Base: orçamento R43 de 22/10; meta: alocação interna; cotação externa ainda ausente.</x:v>
      </x:c>
    </x:row>
    <x:row r="7" ht="31" customHeight="1">
      <x:c r="A7" s="2" t="str">
        <x:v>P02</x:v>
      </x:c>
      <x:c r="B7" s="2" t="str">
        <x:v>Quarto</x:v>
      </x:c>
      <x:c r="C7" s="5" t="str">
        <x:v>Canto em L</x:v>
      </x:c>
      <x:c r="D7" s="6" t="n">
        <x:v>1300</x:v>
      </x:c>
      <x:c r="E7" s="12" t="n">
        <x:v>1000</x:v>
      </x:c>
      <x:c r="F7" s="6" t="n">
        <x:f>D7-E7</x:f>
        <x:v>300</x:v>
      </x:c>
      <x:c r="G7" s="14"/>
      <x:c r="H7" s="6" t="str">
        <x:f>IF(G7="","",G7-E7)</x:f>
      </x:c>
      <x:c r="I7" s="13" t="str"/>
      <x:c r="J7" s="2" t="str"/>
      <x:c r="K7" s="2" t="str">
        <x:v>Canto com frentes retas já vigente; manter acesso, prateleiras e ferragens específicas.</x:v>
      </x:c>
      <x:c r="L7" s="2" t="str">
        <x:v>Base: orçamento R43 de 22/10; meta: alocação interna; cotação externa ainda ausente.</x:v>
      </x:c>
    </x:row>
    <x:row r="8" ht="31" customHeight="1">
      <x:c r="A8" s="2" t="str">
        <x:v>P03</x:v>
      </x:c>
      <x:c r="B8" s="2" t="str">
        <x:v>Quarto</x:v>
      </x:c>
      <x:c r="C8" s="5" t="str">
        <x:v>Maleiro com portas de correr</x:v>
      </x:c>
      <x:c r="D8" s="6" t="n">
        <x:v>1800</x:v>
      </x:c>
      <x:c r="E8" s="12" t="n">
        <x:v>1300</x:v>
      </x:c>
      <x:c r="F8" s="6" t="n">
        <x:f>D8-E8</x:f>
        <x:v>500</x:v>
      </x:c>
      <x:c r="G8" s="14"/>
      <x:c r="H8" s="6" t="str">
        <x:f>IF(G8="","",G8-E8)</x:f>
      </x:c>
      <x:c r="I8" s="13" t="str"/>
      <x:c r="J8" s="2" t="str"/>
      <x:c r="K8" s="2" t="str">
        <x:v>Interiores brancos; portas de correr e profundidade mantidas; corte junto ao roupeiro.</x:v>
      </x:c>
      <x:c r="L8" s="2" t="str">
        <x:v>Base: orçamento R43 de 22/10; meta: alocação interna; cotação externa ainda ausente.</x:v>
      </x:c>
    </x:row>
    <x:row r="9" ht="31" customHeight="1">
      <x:c r="A9" s="2" t="str">
        <x:v>P04</x:v>
      </x:c>
      <x:c r="B9" s="2" t="str">
        <x:v>Quarto</x:v>
      </x:c>
      <x:c r="C9" s="5" t="str">
        <x:v>Aéreo da cabeceira</x:v>
      </x:c>
      <x:c r="D9" s="6" t="n">
        <x:v>1400</x:v>
      </x:c>
      <x:c r="E9" s="12" t="n">
        <x:v>1050</x:v>
      </x:c>
      <x:c r="F9" s="6" t="n">
        <x:f>D9-E9</x:f>
        <x:v>350</x:v>
      </x:c>
      <x:c r="G9" s="14"/>
      <x:c r="H9" s="6" t="str">
        <x:f>IF(G9="","",G9-E9)</x:f>
      </x:c>
      <x:c r="I9" s="13" t="str"/>
      <x:c r="J9" s="2" t="str"/>
      <x:c r="K9" s="2" t="str">
        <x:v>Interiores brancos; frentes Arenza; manter profundidade de 250 mm e portas.</x:v>
      </x:c>
      <x:c r="L9" s="2" t="str">
        <x:v>Base: orçamento R43 de 22/10; meta: alocação interna; cotação externa ainda ausente.</x:v>
      </x:c>
    </x:row>
    <x:row r="10" ht="31" customHeight="1">
      <x:c r="A10" s="2" t="str">
        <x:v>P05</x:v>
      </x:c>
      <x:c r="B10" s="2" t="str">
        <x:v>Cozinha</x:v>
      </x:c>
      <x:c r="C10" s="5" t="str">
        <x:v>Gabinete da pia</x:v>
      </x:c>
      <x:c r="D10" s="6" t="n">
        <x:v>1500</x:v>
      </x:c>
      <x:c r="E10" s="12" t="n">
        <x:v>1150</x:v>
      </x:c>
      <x:c r="F10" s="6" t="n">
        <x:f>D10-E10</x:f>
        <x:v>350</x:v>
      </x:c>
      <x:c r="G10" s="14"/>
      <x:c r="H10" s="6" t="str">
        <x:f>IF(G10="","",G10-E10)</x:f>
      </x:c>
      <x:c r="I10" s="13" t="str"/>
      <x:c r="J10" s="2" t="str"/>
      <x:c r="K10" s="2" t="str">
        <x:v>Branco interno; Arenza aparente; acesso hidráulico e proteção das bordas preservados.</x:v>
      </x:c>
      <x:c r="L10" s="2" t="str">
        <x:v>Base: orçamento R43 de 22/10; meta: alocação interna; cotação externa ainda ausente.</x:v>
      </x:c>
    </x:row>
    <x:row r="11" ht="31" customHeight="1">
      <x:c r="A11" s="2" t="str">
        <x:v>P06</x:v>
      </x:c>
      <x:c r="B11" s="2" t="str">
        <x:v>Cozinha</x:v>
      </x:c>
      <x:c r="C11" s="5" t="str">
        <x:v>Gaveteiro G1/G2/G3</x:v>
      </x:c>
      <x:c r="D11" s="6" t="n">
        <x:v>2300</x:v>
      </x:c>
      <x:c r="E11" s="12" t="n">
        <x:v>1800</x:v>
      </x:c>
      <x:c r="F11" s="6" t="n">
        <x:f>D11-E11</x:f>
        <x:v>500</x:v>
      </x:c>
      <x:c r="G11" s="14"/>
      <x:c r="H11" s="6" t="str">
        <x:f>IF(G11="","",G11-E11)</x:f>
      </x:c>
      <x:c r="I11" s="13" t="str"/>
      <x:c r="J11" s="2" t="str"/>
      <x:c r="K11" s="2" t="str">
        <x:v>Caixas internas brancas; 3 gavetas mantidas; frentes e engates sem redução de volume.</x:v>
      </x:c>
      <x:c r="L11" s="2" t="str">
        <x:v>Base: orçamento R43 de 22/10; meta: alocação interna; cotação externa ainda ausente.</x:v>
      </x:c>
    </x:row>
    <x:row r="12" ht="31" customHeight="1">
      <x:c r="A12" s="2" t="str">
        <x:v>P07</x:v>
      </x:c>
      <x:c r="B12" s="2" t="str">
        <x:v>Cozinha</x:v>
      </x:c>
      <x:c r="C12" s="5" t="str">
        <x:v>Estrutura de cocção e grelhas removíveis</x:v>
      </x:c>
      <x:c r="D12" s="6" t="n">
        <x:v>1800</x:v>
      </x:c>
      <x:c r="E12" s="12" t="n">
        <x:v>1500</x:v>
      </x:c>
      <x:c r="F12" s="6" t="n">
        <x:f>D12-E12</x:f>
        <x:v>300</x:v>
      </x:c>
      <x:c r="G12" s="14"/>
      <x:c r="H12" s="6" t="str">
        <x:f>IF(G12="","",G12-E12)</x:f>
      </x:c>
      <x:c r="I12" s="13" t="str"/>
      <x:c r="J12" s="2" t="str"/>
      <x:c r="K12" s="2" t="str">
        <x:v>Peças internas de fábrica e corte em lote; apoios, ventilação e grelhas mantidos.</x:v>
      </x:c>
      <x:c r="L12" s="2" t="str">
        <x:v>Base: orçamento R43 de 22/10; meta: alocação interna; cotação externa ainda ausente.</x:v>
      </x:c>
    </x:row>
    <x:row r="13" ht="31" customHeight="1">
      <x:c r="A13" s="2" t="str">
        <x:v>P08</x:v>
      </x:c>
      <x:c r="B13" s="2" t="str">
        <x:v>Cozinha</x:v>
      </x:c>
      <x:c r="C13" s="5" t="str">
        <x:v>Gaveta baixa de limpeza</x:v>
      </x:c>
      <x:c r="D13" s="6" t="n">
        <x:v>800</x:v>
      </x:c>
      <x:c r="E13" s="12" t="n">
        <x:v>650</x:v>
      </x:c>
      <x:c r="F13" s="6" t="n">
        <x:f>D13-E13</x:f>
        <x:v>150</x:v>
      </x:c>
      <x:c r="G13" s="14"/>
      <x:c r="H13" s="6" t="str">
        <x:f>IF(G13="","",G13-E13)</x:f>
      </x:c>
      <x:c r="I13" s="13" t="str"/>
      <x:c r="J13" s="2" t="str"/>
      <x:c r="K13" s="2" t="str">
        <x:v>Manter gaveta baixa independente, rodas/guias e acesso; não eliminar por ser pequena.</x:v>
      </x:c>
      <x:c r="L13" s="2" t="str">
        <x:v>Base: orçamento R43 de 22/10; meta: alocação interna; cotação externa ainda ausente.</x:v>
      </x:c>
    </x:row>
    <x:row r="14" ht="31" customHeight="1">
      <x:c r="A14" s="2" t="str">
        <x:v>P09</x:v>
      </x:c>
      <x:c r="B14" s="2" t="str">
        <x:v>Cozinha</x:v>
      </x:c>
      <x:c r="C14" s="5" t="str">
        <x:v>Aéreo D sobre depurador</x:v>
      </x:c>
      <x:c r="D14" s="6" t="n">
        <x:v>1200</x:v>
      </x:c>
      <x:c r="E14" s="12" t="n">
        <x:v>850</x:v>
      </x:c>
      <x:c r="F14" s="6" t="n">
        <x:f>D14-E14</x:f>
        <x:v>350</x:v>
      </x:c>
      <x:c r="G14" s="14"/>
      <x:c r="H14" s="6" t="str">
        <x:f>IF(G14="","",G14-E14)</x:f>
      </x:c>
      <x:c r="I14" s="13" t="str"/>
      <x:c r="J14" s="2" t="str"/>
      <x:c r="K14" s="2" t="str">
        <x:v>Interno branco; Azul Petróleo aparente; preservar fundo/saia visíveis na cor aprovada.</x:v>
      </x:c>
      <x:c r="L14" s="2" t="str">
        <x:v>Base: orçamento R43 de 22/10; meta: alocação interna; cotação externa ainda ausente.</x:v>
      </x:c>
    </x:row>
    <x:row r="15" ht="31" customHeight="1">
      <x:c r="A15" s="2" t="str">
        <x:v>P10</x:v>
      </x:c>
      <x:c r="B15" s="2" t="str">
        <x:v>Cozinha</x:v>
      </x:c>
      <x:c r="C15" s="5" t="str">
        <x:v>Aéreo C de uso diário</x:v>
      </x:c>
      <x:c r="D15" s="6" t="n">
        <x:v>1700</x:v>
      </x:c>
      <x:c r="E15" s="12" t="n">
        <x:v>1250</x:v>
      </x:c>
      <x:c r="F15" s="6" t="n">
        <x:f>D15-E15</x:f>
        <x:v>450</x:v>
      </x:c>
      <x:c r="G15" s="14"/>
      <x:c r="H15" s="6" t="str">
        <x:f>IF(G15="","",G15-E15)</x:f>
      </x:c>
      <x:c r="I15" s="13" t="str"/>
      <x:c r="J15" s="2" t="str"/>
      <x:c r="K15" s="2" t="str">
        <x:v>Interno branco; Azul Petróleo aparente; 6 dobradiças de referência mantidas.</x:v>
      </x:c>
      <x:c r="L15" s="2" t="str">
        <x:v>Base: orçamento R43 de 22/10; meta: alocação interna; cotação externa ainda ausente.</x:v>
      </x:c>
    </x:row>
    <x:row r="16" ht="31" customHeight="1">
      <x:c r="A16" s="2" t="str">
        <x:v>P11</x:v>
      </x:c>
      <x:c r="B16" s="2" t="str">
        <x:v>Cozinha</x:v>
      </x:c>
      <x:c r="C16" s="5" t="str">
        <x:v>Aéreo B sobre micro-ondas</x:v>
      </x:c>
      <x:c r="D16" s="6" t="n">
        <x:v>1250</x:v>
      </x:c>
      <x:c r="E16" s="12" t="n">
        <x:v>900</x:v>
      </x:c>
      <x:c r="F16" s="6" t="n">
        <x:f>D16-E16</x:f>
        <x:v>350</x:v>
      </x:c>
      <x:c r="G16" s="14"/>
      <x:c r="H16" s="6" t="str">
        <x:f>IF(G16="","",G16-E16)</x:f>
      </x:c>
      <x:c r="I16" s="13" t="str"/>
      <x:c r="J16" s="2" t="str"/>
      <x:c r="K16" s="2" t="str">
        <x:v>Interno branco; Azul Petróleo aparente; manter acesso e abertura.</x:v>
      </x:c>
      <x:c r="L16" s="2" t="str">
        <x:v>Base: orçamento R43 de 22/10; meta: alocação interna; cotação externa ainda ausente.</x:v>
      </x:c>
    </x:row>
    <x:row r="17" ht="31" customHeight="1">
      <x:c r="A17" s="2" t="str">
        <x:v>P12</x:v>
      </x:c>
      <x:c r="B17" s="2" t="str">
        <x:v>Cozinha</x:v>
      </x:c>
      <x:c r="C17" s="5" t="str">
        <x:v>Aéreo A sobre geladeira</x:v>
      </x:c>
      <x:c r="D17" s="6" t="n">
        <x:v>1300</x:v>
      </x:c>
      <x:c r="E17" s="12" t="n">
        <x:v>950</x:v>
      </x:c>
      <x:c r="F17" s="6" t="n">
        <x:f>D17-E17</x:f>
        <x:v>350</x:v>
      </x:c>
      <x:c r="G17" s="14"/>
      <x:c r="H17" s="6" t="str">
        <x:f>IF(G17="","",G17-E17)</x:f>
      </x:c>
      <x:c r="I17" s="13" t="str"/>
      <x:c r="J17" s="2" t="str"/>
      <x:c r="K17" s="2" t="str">
        <x:v>Interno branco; Azul Petróleo aparente; manter alcance e folgas da geladeira.</x:v>
      </x:c>
      <x:c r="L17" s="2" t="str">
        <x:v>Base: orçamento R43 de 22/10; meta: alocação interna; cotação externa ainda ausente.</x:v>
      </x:c>
    </x:row>
    <x:row r="18" ht="31" customHeight="1">
      <x:c r="A18" s="2" t="str">
        <x:v>P13</x:v>
      </x:c>
      <x:c r="B18" s="2" t="str">
        <x:v>Cozinha</x:v>
      </x:c>
      <x:c r="C18" s="5" t="str">
        <x:v>Apoio aberto do micro-ondas</x:v>
      </x:c>
      <x:c r="D18" s="6" t="n">
        <x:v>400</x:v>
      </x:c>
      <x:c r="E18" s="12" t="n">
        <x:v>250</x:v>
      </x:c>
      <x:c r="F18" s="6" t="n">
        <x:f>D18-E18</x:f>
        <x:v>150</x:v>
      </x:c>
      <x:c r="G18" s="14"/>
      <x:c r="H18" s="6" t="str">
        <x:f>IF(G18="","",G18-E18)</x:f>
      </x:c>
      <x:c r="I18" s="13" t="str"/>
      <x:c r="J18" s="2" t="str"/>
      <x:c r="K18" s="2" t="str">
        <x:v>Apoio aberto mantém acabamento aparente; aproveitar corte, sem reduzir apoio.</x:v>
      </x:c>
      <x:c r="L18" s="2" t="str">
        <x:v>Base: orçamento R43 de 22/10; meta: alocação interna; cotação externa ainda ausente.</x:v>
      </x:c>
    </x:row>
    <x:row r="19" ht="31" customHeight="1">
      <x:c r="A19" s="2" t="str">
        <x:v>P14</x:v>
      </x:c>
      <x:c r="B19" s="2" t="str">
        <x:v>Lavanderia</x:v>
      </x:c>
      <x:c r="C19" s="5" t="str">
        <x:v>Gabinete e cesto basculante removível</x:v>
      </x:c>
      <x:c r="D19" s="6" t="n">
        <x:v>2500</x:v>
      </x:c>
      <x:c r="E19" s="12" t="n">
        <x:v>2050</x:v>
      </x:c>
      <x:c r="F19" s="6" t="n">
        <x:f>D19-E19</x:f>
        <x:v>450</x:v>
      </x:c>
      <x:c r="G19" s="14"/>
      <x:c r="H19" s="6" t="str">
        <x:f>IF(G19="","",G19-E19)</x:f>
      </x:c>
      <x:c r="I19" s="13" t="str"/>
      <x:c r="J19" s="2" t="str"/>
      <x:c r="K19" s="2" t="str">
        <x:v>Interior branco; frente lisa Arenza; incluir armação/saco e ferragens do cesto.</x:v>
      </x:c>
      <x:c r="L19" s="2" t="str">
        <x:v>Base: orçamento R43 de 22/10; meta: alocação interna; cotação externa ainda ausente.</x:v>
      </x:c>
    </x:row>
    <x:row r="20" ht="31" customHeight="1">
      <x:c r="A20" s="2" t="str">
        <x:v>P15</x:v>
      </x:c>
      <x:c r="B20" s="2" t="str">
        <x:v>Lavanderia</x:v>
      </x:c>
      <x:c r="C20" s="5" t="str">
        <x:v>Aéreo e fechamento ventilado</x:v>
      </x:c>
      <x:c r="D20" s="6" t="n">
        <x:v>1400</x:v>
      </x:c>
      <x:c r="E20" s="12" t="n">
        <x:v>1050</x:v>
      </x:c>
      <x:c r="F20" s="6" t="n">
        <x:f>D20-E20</x:f>
        <x:v>350</x:v>
      </x:c>
      <x:c r="G20" s="14"/>
      <x:c r="H20" s="6" t="str">
        <x:f>IF(G20="","",G20-E20)</x:f>
      </x:c>
      <x:c r="I20" s="13" t="str"/>
      <x:c r="J20" s="2" t="str"/>
      <x:c r="K20" s="2" t="str">
        <x:v>Interior branco; acabamento aparente aprovado; preservar ventilação e manutenção.</x:v>
      </x:c>
      <x:c r="L20" s="2" t="str">
        <x:v>Base: orçamento R43 de 22/10; meta: alocação interna; cotação externa ainda ausente.</x:v>
      </x:c>
    </x:row>
    <x:row r="21" ht="31" customHeight="1">
      <x:c r="A21" s="2" t="str">
        <x:v>P16</x:v>
      </x:c>
      <x:c r="B21" s="2" t="str">
        <x:v>Escritório</x:v>
      </x:c>
      <x:c r="C21" s="5" t="str">
        <x:v>Duas gavetas sob bancada</x:v>
      </x:c>
      <x:c r="D21" s="6" t="n">
        <x:v>1300</x:v>
      </x:c>
      <x:c r="E21" s="12" t="n">
        <x:v>1000</x:v>
      </x:c>
      <x:c r="F21" s="6" t="n">
        <x:f>D21-E21</x:f>
        <x:v>300</x:v>
      </x:c>
      <x:c r="G21" s="14"/>
      <x:c r="H21" s="6" t="str">
        <x:f>IF(G21="","",G21-E21)</x:f>
      </x:c>
      <x:c r="I21" s="13" t="str"/>
      <x:c r="J21" s="2" t="str"/>
      <x:c r="K21" s="2" t="str">
        <x:v>Caixas brancas; frentes Arenza; 2 gavetas de abertura total, sem parafuso externo.</x:v>
      </x:c>
      <x:c r="L21" s="2" t="str">
        <x:v>Base: orçamento R43 de 22/10; meta: alocação interna; cotação externa ainda ausente.</x:v>
      </x:c>
    </x:row>
    <x:row r="22" ht="31" customHeight="1">
      <x:c r="A22" s="2" t="str">
        <x:v>P17</x:v>
      </x:c>
      <x:c r="B22" s="2" t="str">
        <x:v>Escritório</x:v>
      </x:c>
      <x:c r="C22" s="5" t="str">
        <x:v>Aéreo principal fechado</x:v>
      </x:c>
      <x:c r="D22" s="6" t="n">
        <x:v>3100</x:v>
      </x:c>
      <x:c r="E22" s="12" t="n">
        <x:v>2200</x:v>
      </x:c>
      <x:c r="F22" s="6" t="n">
        <x:f>D22-E22</x:f>
        <x:v>900</x:v>
      </x:c>
      <x:c r="G22" s="14"/>
      <x:c r="H22" s="6" t="str">
        <x:f>IF(G22="","",G22-E22)</x:f>
      </x:c>
      <x:c r="I22" s="13" t="str"/>
      <x:c r="J22" s="2" t="str"/>
      <x:c r="K22" s="2" t="str">
        <x:v>Interior branco; exterior off-white fosco; manter prateleiras e dimensões úteis.</x:v>
      </x:c>
      <x:c r="L22" s="2" t="str">
        <x:v>Base: orçamento R43 de 22/10; meta: alocação interna; cotação externa ainda ausente.</x:v>
      </x:c>
    </x:row>
    <x:row r="23" ht="31" customHeight="1">
      <x:c r="A23" s="2" t="str">
        <x:v>P18</x:v>
      </x:c>
      <x:c r="B23" s="2" t="str">
        <x:v>Banheiro</x:v>
      </x:c>
      <x:c r="C23" s="5" t="str">
        <x:v>Gabinete suspenso com portas de correr R43</x:v>
      </x:c>
      <x:c r="D23" s="6" t="n">
        <x:v>1800</x:v>
      </x:c>
      <x:c r="E23" s="12" t="n">
        <x:v>1550</x:v>
      </x:c>
      <x:c r="F23" s="6" t="n">
        <x:f>D23-E23</x:f>
        <x:v>250</x:v>
      </x:c>
      <x:c r="G23" s="14"/>
      <x:c r="H23" s="6" t="str">
        <x:f>IF(G23="","",G23-E23)</x:f>
      </x:c>
      <x:c r="I23" s="13" t="str"/>
      <x:c r="J23" s="2" t="str"/>
      <x:c r="K23" s="2" t="str">
        <x:v>Interior branco; frente bege fosca e laterais claras; correr/removibilidade R43.</x:v>
      </x:c>
      <x:c r="L23" s="2" t="str">
        <x:v>Base: orçamento R43 de 22/10; meta: alocação interna; cotação externa ainda ausente.</x:v>
      </x:c>
    </x:row>
    <x:row r="24" ht="31" customHeight="1">
      <x:c r="A24" s="2" t="str">
        <x:v>P19</x:v>
      </x:c>
      <x:c r="B24" s="2" t="str">
        <x:v>Banheiro</x:v>
      </x:c>
      <x:c r="C24" s="5" t="str">
        <x:v>Armário espelhado completo</x:v>
      </x:c>
      <x:c r="D24" s="6" t="n">
        <x:v>1500</x:v>
      </x:c>
      <x:c r="E24" s="12" t="n">
        <x:v>1250</x:v>
      </x:c>
      <x:c r="F24" s="6" t="n">
        <x:f>D24-E24</x:f>
        <x:v>250</x:v>
      </x:c>
      <x:c r="G24" s="14"/>
      <x:c r="H24" s="6" t="str">
        <x:f>IF(G24="","",G24-E24)</x:f>
      </x:c>
      <x:c r="I24" s="13" t="str"/>
      <x:c r="J24" s="2" t="str"/>
      <x:c r="K24" s="2" t="str">
        <x:v>Interior branco; espelho frontal e laterais claras; incluir espelho e ferragens.</x:v>
      </x:c>
      <x:c r="L24" s="2" t="str">
        <x:v>Base: orçamento R43 de 22/10; meta: alocação interna; cotação externa ainda ausente.</x:v>
      </x:c>
    </x:row>
    <x:row r="25" ht="31" customHeight="1">
      <x:c r="A25" s="2" t="str">
        <x:v>P20</x:v>
      </x:c>
      <x:c r="B25" s="2" t="str">
        <x:v>Sala</x:v>
      </x:c>
      <x:c r="C25" s="5" t="str">
        <x:v>Banco-baú R43 com somente duas tampas</x:v>
      </x:c>
      <x:c r="D25" s="6" t="n">
        <x:v>3500</x:v>
      </x:c>
      <x:c r="E25" s="12" t="n">
        <x:v>2800</x:v>
      </x:c>
      <x:c r="F25" s="6" t="n">
        <x:f>D25-E25</x:f>
        <x:v>700</x:v>
      </x:c>
      <x:c r="G25" s="14"/>
      <x:c r="H25" s="6" t="str">
        <x:f>IF(G25="","",G25-E25)</x:f>
      </x:c>
      <x:c r="I25" s="13" t="str"/>
      <x:c r="J25" s="2" t="str"/>
      <x:c r="K25" s="2" t="str">
        <x:v>Interior branco oculto; exterior Arenza; 2 tampas, divisórias e apoios preservados.</x:v>
      </x:c>
      <x:c r="L25" s="2" t="str">
        <x:v>Base: orçamento R43 de 22/10; meta: alocação interna; cotação externa ainda ausente.</x:v>
      </x:c>
    </x:row>
    <x:row r="26" ht="31" customHeight="1">
      <x:c r="A26" s="2" t="str">
        <x:v>C01</x:v>
      </x:c>
      <x:c r="B26" s="2" t="str">
        <x:v>Quarto</x:v>
      </x:c>
      <x:c r="C26" s="5" t="str">
        <x:v>Cabeceira e estofamento, sem apoios removidos</x:v>
      </x:c>
      <x:c r="D26" s="6" t="n">
        <x:v>1500</x:v>
      </x:c>
      <x:c r="E26" s="12" t="n">
        <x:v>1000</x:v>
      </x:c>
      <x:c r="F26" s="6" t="n">
        <x:f>D26-E26</x:f>
        <x:v>500</x:v>
      </x:c>
      <x:c r="G26" s="14"/>
      <x:c r="H26" s="6" t="str">
        <x:f>IF(G26="","",G26-E26)</x:f>
      </x:c>
      <x:c r="I26" s="13" t="str"/>
      <x:c r="J26" s="2" t="str"/>
      <x:c r="K26" s="2" t="str">
        <x:v>Cabeceira lisa na cor/tecido aprovados; execução simples, estofamento incluído.</x:v>
      </x:c>
      <x:c r="L26" s="2" t="str">
        <x:v>Base: orçamento R43 de 22/10; meta: alocação interna; cotação externa ainda ausente.</x:v>
      </x:c>
    </x:row>
    <x:row r="27" ht="31" customHeight="1">
      <x:c r="A27" s="2" t="str">
        <x:v>C02</x:v>
      </x:c>
      <x:c r="B27" s="2" t="str">
        <x:v>Escritório</x:v>
      </x:c>
      <x:c r="C27" s="5" t="str">
        <x:v>Bancada 200 × 70 cm, apoios e passa-cabos</x:v>
      </x:c>
      <x:c r="D27" s="6" t="n">
        <x:v>1800</x:v>
      </x:c>
      <x:c r="E27" s="12" t="n">
        <x:v>1400</x:v>
      </x:c>
      <x:c r="F27" s="6" t="n">
        <x:f>D27-E27</x:f>
        <x:v>400</x:v>
      </x:c>
      <x:c r="G27" s="14"/>
      <x:c r="H27" s="6" t="str">
        <x:f>IF(G27="","",G27-E27)</x:f>
      </x:c>
      <x:c r="I27" s="13" t="str"/>
      <x:c r="J27" s="2" t="str"/>
      <x:c r="K27" s="2" t="str">
        <x:v>Tampo Arenza; apoios e reforços preservados; nenhuma redução de espessura aprovada.</x:v>
      </x:c>
      <x:c r="L27" s="2" t="str">
        <x:v>Base: orçamento R43 de 22/10; meta: alocação interna; cotação externa ainda ausente.</x:v>
      </x:c>
    </x:row>
    <x:row r="28" ht="31" customHeight="1">
      <x:c r="A28" s="2" t="str">
        <x:v>C03</x:v>
      </x:c>
      <x:c r="B28" s="2" t="str">
        <x:v>Sala</x:v>
      </x:c>
      <x:c r="C28" s="5" t="str">
        <x:v>Encosto em 3 painéis e 2 almofadas do banco</x:v>
      </x:c>
      <x:c r="D28" s="6" t="n">
        <x:v>1400</x:v>
      </x:c>
      <x:c r="E28" s="12" t="n">
        <x:v>1100</x:v>
      </x:c>
      <x:c r="F28" s="6" t="n">
        <x:f>D28-E28</x:f>
        <x:v>300</x:v>
      </x:c>
      <x:c r="G28" s="14"/>
      <x:c r="H28" s="6" t="str">
        <x:f>IF(G28="","",G28-E28)</x:f>
      </x:c>
      <x:c r="I28" s="13" t="str"/>
      <x:c r="J28" s="2" t="str"/>
      <x:c r="K28" s="2" t="str">
        <x:v>3 painéis lisos de encosto + 2 almofadas, greige claro; sem trocar conforto por preço.</x:v>
      </x:c>
      <x:c r="L28" s="2" t="str">
        <x:v>Base: orçamento R43 de 22/10; meta: alocação interna; cotação externa ainda ausente.</x:v>
      </x:c>
    </x:row>
    <x:row r="29" ht="31" customHeight="1">
      <x:c r="A29" s="2" t="str">
        <x:v>C04</x:v>
      </x:c>
      <x:c r="B29" s="2" t="str">
        <x:v>Sala</x:v>
      </x:c>
      <x:c r="C29" s="5" t="str">
        <x:v>Painel da TV e duas prateleiras</x:v>
      </x:c>
      <x:c r="D29" s="6" t="n">
        <x:v>1600</x:v>
      </x:c>
      <x:c r="E29" s="12" t="n">
        <x:v>850</x:v>
      </x:c>
      <x:c r="F29" s="6" t="n">
        <x:f>D29-E29</x:f>
        <x:v>750</x:v>
      </x:c>
      <x:c r="G29" s="14"/>
      <x:c r="H29" s="6" t="str">
        <x:f>IF(G29="","",G29-E29)</x:f>
      </x:c>
      <x:c r="I29" s="13" t="str"/>
      <x:c r="J29" s="2" t="str"/>
      <x:c r="K29" s="2" t="str">
        <x:v>Painel liso off-white e 2 prateleiras Arenza; fixação/fios ocultos com manutenção.</x:v>
      </x:c>
      <x:c r="L29" s="2" t="str">
        <x:v>Base: orçamento R43 de 22/10; meta: alocação interna; cotação externa ainda ausente.</x:v>
      </x:c>
    </x:row>
    <x:row r="30" ht="31" customHeight="1">
      <x:c r="A30" s="2" t="str">
        <x:v>C05</x:v>
      </x:c>
      <x:c r="B30" s="2" t="str">
        <x:v>Escritório</x:v>
      </x:c>
      <x:c r="C30" s="5" t="str">
        <x:v>Prateleiras e suportes de TV/acessórios</x:v>
      </x:c>
      <x:c r="D30" s="6" t="n">
        <x:v>600</x:v>
      </x:c>
      <x:c r="E30" s="12" t="n">
        <x:v>400</x:v>
      </x:c>
      <x:c r="F30" s="6" t="n">
        <x:f>D30-E30</x:f>
        <x:v>200</x:v>
      </x:c>
      <x:c r="G30" s="14"/>
      <x:c r="H30" s="6" t="str">
        <x:f>IF(G30="","",G30-E30)</x:f>
      </x:c>
      <x:c r="I30" s="13" t="str"/>
      <x:c r="J30" s="2" t="str"/>
      <x:c r="K30" s="2" t="str">
        <x:v>Prateleiras abertas Arenza; ferragens e bordas aparentes mantidas.</x:v>
      </x:c>
      <x:c r="L30" s="2" t="str">
        <x:v>Base: orçamento R43 de 22/10; meta: alocação interna; cotação externa ainda ausente.</x:v>
      </x:c>
    </x:row>
    <x:row r="31" ht="31" customHeight="1">
      <x:c r="A31" s="2" t="str">
        <x:v>C06</x:v>
      </x:c>
      <x:c r="B31" s="2" t="str">
        <x:v>Geral</x:v>
      </x:c>
      <x:c r="C31" s="5" t="str">
        <x:v>Arremates superiores e ajustes entre módulos</x:v>
      </x:c>
      <x:c r="D31" s="6" t="n">
        <x:v>1000</x:v>
      </x:c>
      <x:c r="E31" s="12" t="n">
        <x:v>700</x:v>
      </x:c>
      <x:c r="F31" s="6" t="n">
        <x:f>D31-E31</x:f>
        <x:v>300</x:v>
      </x:c>
      <x:c r="G31" s="14"/>
      <x:c r="H31" s="6" t="str">
        <x:f>IF(G31="","",G31-E31)</x:f>
      </x:c>
      <x:c r="I31" s="13" t="str"/>
      <x:c r="J31" s="2" t="str"/>
      <x:c r="K31" s="2" t="str">
        <x:v>Aproveitar retalhos compatíveis nos arremates; incluir ajustes e retornos finais.</x:v>
      </x:c>
      <x:c r="L31" s="2" t="str">
        <x:v>Base: orçamento R43 de 22/10; meta: alocação interna; cotação externa ainda ausente.</x:v>
      </x:c>
    </x:row>
    <x:row r="32">
      <x:c r="A32" s="2"/>
      <x:c r="B32" s="2"/>
      <x:c r="C32" s="2"/>
      <x:c r="D32" s="6"/>
      <x:c r="E32" s="6"/>
      <x:c r="F32" s="6"/>
      <x:c r="G32" s="6"/>
      <x:c r="H32" s="6"/>
      <x:c r="I32" s="2"/>
      <x:c r="J32" s="2"/>
      <x:c r="K32" s="2"/>
      <x:c r="L32" s="2"/>
    </x:row>
    <x:row r="33">
      <x:c r="A33" s="9"/>
      <x:c r="B33" s="9"/>
      <x:c r="C33" s="9" t="str">
        <x:v>TOTAL</x:v>
      </x:c>
      <x:c r="D33" s="18" t="n">
        <x:f>SUM(D6:D31)</x:f>
        <x:v>46550</x:v>
      </x:c>
      <x:c r="E33" s="18" t="n">
        <x:f>SUM(E6:E31)</x:f>
        <x:v>35000</x:v>
      </x:c>
      <x:c r="F33" s="18" t="n">
        <x:f>SUM(F6:F31)</x:f>
        <x:v>11550</x:v>
      </x:c>
      <x:c r="G33" s="18" t="str">
        <x:f>IF(COUNT(G6:G31)=26,SUM(G6:G31),"Pendente")</x:f>
        <x:v>Pendente</x:v>
      </x:c>
      <x:c r="H33" s="18" t="str">
        <x:f>IF(COUNT(G6:G31)=26,G33-E33,"")</x:f>
      </x:c>
      <x:c r="I33" s="9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mergeCells>
    <x:mergeCell ref="A2:L2"/>
    <x:mergeCell ref="A3:L3"/>
  </x:mergeCells>
  <x:pageMargins left="0.7" right="0.7" top="0.75" bottom="0.75" header="0.3" footer="0.3"/>
</x:worksheet>
</file>